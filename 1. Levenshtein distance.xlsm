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15. ISB_Guest\"/>
    </mc:Choice>
  </mc:AlternateContent>
  <xr:revisionPtr revIDLastSave="0" documentId="13_ncr:1_{0C5549BE-EF24-4E43-92FF-2227F2B6CBFC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Index" sheetId="1" state="hidden" r:id="rId1"/>
    <sheet name="MED" sheetId="2" r:id="rId2"/>
    <sheet name="Text Recommendatio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3" l="1"/>
  <c r="E9" i="3"/>
  <c r="G8" i="3"/>
  <c r="E8" i="3"/>
  <c r="G7" i="3"/>
  <c r="E7" i="3"/>
  <c r="G6" i="3"/>
  <c r="E6" i="3"/>
  <c r="G5" i="3"/>
  <c r="E5" i="3"/>
  <c r="I4" i="3"/>
  <c r="J4" i="3" s="1"/>
  <c r="F3" i="3"/>
  <c r="Y29" i="2"/>
  <c r="Z29" i="2" s="1"/>
  <c r="AA29" i="2" s="1"/>
  <c r="AB29" i="2" s="1"/>
  <c r="AC29" i="2" s="1"/>
  <c r="AD29" i="2" s="1"/>
  <c r="AE29" i="2" s="1"/>
  <c r="AF29" i="2" s="1"/>
  <c r="Y15" i="2"/>
  <c r="Z15" i="2" s="1"/>
  <c r="AA15" i="2" s="1"/>
  <c r="AB15" i="2" s="1"/>
  <c r="AC15" i="2" s="1"/>
  <c r="AD15" i="2" s="1"/>
  <c r="AE15" i="2" s="1"/>
  <c r="AF15" i="2" s="1"/>
  <c r="M15" i="2"/>
  <c r="M12" i="2" s="1"/>
  <c r="Y13" i="2"/>
  <c r="Z13" i="2" s="1"/>
  <c r="W12" i="2"/>
  <c r="X12" i="2" s="1"/>
  <c r="Y12" i="2" s="1"/>
  <c r="L12" i="2"/>
  <c r="I11" i="2"/>
  <c r="F4" i="2"/>
  <c r="C4" i="2"/>
  <c r="AA13" i="2" l="1"/>
  <c r="Z12" i="2"/>
  <c r="M11" i="2"/>
  <c r="L11" i="2"/>
  <c r="N15" i="2"/>
  <c r="I10" i="2"/>
  <c r="W11" i="2"/>
  <c r="W10" i="2" l="1"/>
  <c r="W9" i="2" s="1"/>
  <c r="W8" i="2" s="1"/>
  <c r="W7" i="2" s="1"/>
  <c r="W6" i="2" s="1"/>
  <c r="W5" i="2" s="1"/>
  <c r="W4" i="2" s="1"/>
  <c r="X11" i="2"/>
  <c r="N12" i="2"/>
  <c r="O15" i="2"/>
  <c r="M10" i="2"/>
  <c r="L10" i="2"/>
  <c r="N10" i="2"/>
  <c r="I9" i="2"/>
  <c r="N11" i="2"/>
  <c r="AB13" i="2"/>
  <c r="AA12" i="2"/>
  <c r="P15" i="2" l="1"/>
  <c r="O12" i="2"/>
  <c r="O11" i="2"/>
  <c r="M9" i="2"/>
  <c r="P9" i="2"/>
  <c r="L9" i="2"/>
  <c r="I8" i="2"/>
  <c r="O9" i="2"/>
  <c r="N9" i="2"/>
  <c r="X10" i="2"/>
  <c r="X9" i="2" s="1"/>
  <c r="X8" i="2" s="1"/>
  <c r="X7" i="2" s="1"/>
  <c r="X6" i="2" s="1"/>
  <c r="X5" i="2" s="1"/>
  <c r="X4" i="2" s="1"/>
  <c r="Y11" i="2"/>
  <c r="AB12" i="2"/>
  <c r="AC13" i="2"/>
  <c r="O10" i="2"/>
  <c r="Y10" i="2" l="1"/>
  <c r="Y9" i="2" s="1"/>
  <c r="Y8" i="2" s="1"/>
  <c r="Y7" i="2" s="1"/>
  <c r="Y6" i="2" s="1"/>
  <c r="Y5" i="2" s="1"/>
  <c r="Y4" i="2" s="1"/>
  <c r="Z11" i="2"/>
  <c r="M8" i="2"/>
  <c r="P8" i="2"/>
  <c r="N8" i="2"/>
  <c r="L8" i="2"/>
  <c r="I7" i="2"/>
  <c r="O8" i="2"/>
  <c r="AD13" i="2"/>
  <c r="AC12" i="2"/>
  <c r="Q15" i="2"/>
  <c r="Q8" i="2" s="1"/>
  <c r="P12" i="2"/>
  <c r="P11" i="2"/>
  <c r="P10" i="2"/>
  <c r="AE13" i="2" l="1"/>
  <c r="AD12" i="2"/>
  <c r="Q12" i="2"/>
  <c r="R15" i="2"/>
  <c r="R7" i="2" s="1"/>
  <c r="Q11" i="2"/>
  <c r="Q10" i="2"/>
  <c r="Q9" i="2"/>
  <c r="Q7" i="2"/>
  <c r="M7" i="2"/>
  <c r="L7" i="2"/>
  <c r="I6" i="2"/>
  <c r="P7" i="2"/>
  <c r="O7" i="2"/>
  <c r="N7" i="2"/>
  <c r="Z10" i="2"/>
  <c r="Z9" i="2" s="1"/>
  <c r="Z8" i="2" s="1"/>
  <c r="Z7" i="2" s="1"/>
  <c r="Z6" i="2" s="1"/>
  <c r="Z5" i="2" s="1"/>
  <c r="Z4" i="2" s="1"/>
  <c r="AA11" i="2"/>
  <c r="R12" i="2" l="1"/>
  <c r="S15" i="2"/>
  <c r="R11" i="2"/>
  <c r="R10" i="2"/>
  <c r="R9" i="2"/>
  <c r="R8" i="2"/>
  <c r="AA10" i="2"/>
  <c r="AA9" i="2" s="1"/>
  <c r="AA8" i="2" s="1"/>
  <c r="AA7" i="2" s="1"/>
  <c r="AA6" i="2" s="1"/>
  <c r="AA5" i="2" s="1"/>
  <c r="AA4" i="2" s="1"/>
  <c r="AB11" i="2"/>
  <c r="Q6" i="2"/>
  <c r="M6" i="2"/>
  <c r="P6" i="2"/>
  <c r="S6" i="2"/>
  <c r="L6" i="2"/>
  <c r="O6" i="2"/>
  <c r="N6" i="2"/>
  <c r="R6" i="2"/>
  <c r="I5" i="2"/>
  <c r="AF13" i="2"/>
  <c r="AE12" i="2"/>
  <c r="AF12" i="2" l="1"/>
  <c r="Q5" i="2"/>
  <c r="M5" i="2"/>
  <c r="O5" i="2"/>
  <c r="R5" i="2"/>
  <c r="S5" i="2"/>
  <c r="N5" i="2"/>
  <c r="L5" i="2"/>
  <c r="I4" i="2"/>
  <c r="P5" i="2"/>
  <c r="T15" i="2"/>
  <c r="S12" i="2"/>
  <c r="S11" i="2"/>
  <c r="S10" i="2"/>
  <c r="S9" i="2"/>
  <c r="S8" i="2"/>
  <c r="S7" i="2"/>
  <c r="AB10" i="2"/>
  <c r="AB9" i="2" s="1"/>
  <c r="AB8" i="2" s="1"/>
  <c r="AB7" i="2" s="1"/>
  <c r="AB6" i="2" s="1"/>
  <c r="AB5" i="2" s="1"/>
  <c r="AB4" i="2" s="1"/>
  <c r="AC11" i="2"/>
  <c r="T12" i="2" l="1"/>
  <c r="T11" i="2"/>
  <c r="T10" i="2"/>
  <c r="T9" i="2"/>
  <c r="T8" i="2"/>
  <c r="T7" i="2"/>
  <c r="T6" i="2"/>
  <c r="T5" i="2"/>
  <c r="AC10" i="2"/>
  <c r="AC9" i="2" s="1"/>
  <c r="AC8" i="2" s="1"/>
  <c r="AC7" i="2" s="1"/>
  <c r="AC6" i="2" s="1"/>
  <c r="AC5" i="2" s="1"/>
  <c r="AC4" i="2" s="1"/>
  <c r="AD11" i="2"/>
  <c r="Q4" i="2"/>
  <c r="M4" i="2"/>
  <c r="S4" i="2"/>
  <c r="N4" i="2"/>
  <c r="P4" i="2"/>
  <c r="R4" i="2"/>
  <c r="L4" i="2"/>
  <c r="T4" i="2"/>
  <c r="O4" i="2"/>
  <c r="AD10" i="2" l="1"/>
  <c r="AD9" i="2" s="1"/>
  <c r="AD8" i="2" s="1"/>
  <c r="AD7" i="2" s="1"/>
  <c r="AD6" i="2" s="1"/>
  <c r="AD5" i="2" s="1"/>
  <c r="AD4" i="2" s="1"/>
  <c r="AE11" i="2"/>
  <c r="AE10" i="2" l="1"/>
  <c r="AE9" i="2" s="1"/>
  <c r="AE8" i="2" s="1"/>
  <c r="AE7" i="2" s="1"/>
  <c r="AE6" i="2" s="1"/>
  <c r="AE5" i="2" s="1"/>
  <c r="AE4" i="2" s="1"/>
  <c r="AF11" i="2"/>
  <c r="AF10" i="2" l="1"/>
  <c r="AF9" i="2" s="1"/>
  <c r="AF8" i="2" s="1"/>
  <c r="AF7" i="2" s="1"/>
  <c r="AF6" i="2" s="1"/>
  <c r="AF5" i="2" s="1"/>
  <c r="AF4" i="2" s="1"/>
</calcChain>
</file>

<file path=xl/sharedStrings.xml><?xml version="1.0" encoding="utf-8"?>
<sst xmlns="http://schemas.openxmlformats.org/spreadsheetml/2006/main" count="163" uniqueCount="115">
  <si>
    <t>Sno</t>
  </si>
  <si>
    <t>Session</t>
  </si>
  <si>
    <t>Topic</t>
  </si>
  <si>
    <t>Session 1</t>
  </si>
  <si>
    <t>Introduction</t>
  </si>
  <si>
    <t>Basic Text Processing</t>
  </si>
  <si>
    <t>Minimum Edit Distance</t>
  </si>
  <si>
    <t>Session 2</t>
  </si>
  <si>
    <t>Text Classification</t>
  </si>
  <si>
    <t>Sentiment Analysis</t>
  </si>
  <si>
    <t>Language Modeling</t>
  </si>
  <si>
    <t>Session 3</t>
  </si>
  <si>
    <t>POS Tagging</t>
  </si>
  <si>
    <t>Parsing Introduction</t>
  </si>
  <si>
    <t>Dependency Parsing</t>
  </si>
  <si>
    <t>Session 4</t>
  </si>
  <si>
    <t>Information Extraction</t>
  </si>
  <si>
    <t>Named Entity Recognition</t>
  </si>
  <si>
    <t>Relation Extraction</t>
  </si>
  <si>
    <t>Session 5</t>
  </si>
  <si>
    <t>Semantics</t>
  </si>
  <si>
    <t>Question Answering</t>
  </si>
  <si>
    <t>Summarization</t>
  </si>
  <si>
    <t>X</t>
  </si>
  <si>
    <t>Y</t>
  </si>
  <si>
    <t>n</t>
  </si>
  <si>
    <t>m</t>
  </si>
  <si>
    <t>INTENTION</t>
  </si>
  <si>
    <t>EXECUTION</t>
  </si>
  <si>
    <t>D (i,j)</t>
  </si>
  <si>
    <t>The edit distance between X[1….i] to Y[1….j]</t>
  </si>
  <si>
    <t>D(i,j)</t>
  </si>
  <si>
    <t>The edit distance between X[1….5] to Y[1….4]</t>
  </si>
  <si>
    <t>INTEN and EXEC</t>
  </si>
  <si>
    <t>D(5,4)</t>
  </si>
  <si>
    <t>D(n,m)</t>
  </si>
  <si>
    <t>The edit distance between X to Y</t>
  </si>
  <si>
    <t>i is from 1 to n, j is from 1 to m</t>
  </si>
  <si>
    <t>Initialization</t>
  </si>
  <si>
    <t>D(0, j) = j</t>
  </si>
  <si>
    <t>I</t>
  </si>
  <si>
    <t>N</t>
  </si>
  <si>
    <t>T</t>
  </si>
  <si>
    <t>E</t>
  </si>
  <si>
    <t>O</t>
  </si>
  <si>
    <t>C</t>
  </si>
  <si>
    <t>U</t>
  </si>
  <si>
    <t>#</t>
  </si>
  <si>
    <t xml:space="preserve">D(i, 0) = i  [For j=0, </t>
  </si>
  <si>
    <t>Initialize</t>
  </si>
  <si>
    <t>A</t>
  </si>
  <si>
    <t>D</t>
  </si>
  <si>
    <t>Shared in Class</t>
  </si>
  <si>
    <t>D (1,0) = 1</t>
  </si>
  <si>
    <t>D (2,0) = 2</t>
  </si>
  <si>
    <t>D (9,0) = 9</t>
  </si>
  <si>
    <t>D (8,0) = 8</t>
  </si>
  <si>
    <t>D (7,0) = 7</t>
  </si>
  <si>
    <t>D (6,0) = 6</t>
  </si>
  <si>
    <t>D (5,0) = 5</t>
  </si>
  <si>
    <t>D (4,0) = 4</t>
  </si>
  <si>
    <t>D (3,0) = 3</t>
  </si>
  <si>
    <t>D (0,1) = 1</t>
  </si>
  <si>
    <t>D (0,2) = 2</t>
  </si>
  <si>
    <t>D (0,3) = 3</t>
  </si>
  <si>
    <t>D (0,4) = 4</t>
  </si>
  <si>
    <t>D (0,5) = 5</t>
  </si>
  <si>
    <t>D (0,6) = 6</t>
  </si>
  <si>
    <t>D (0,7) = 7</t>
  </si>
  <si>
    <t>D (0,8) = 8</t>
  </si>
  <si>
    <t>D (0,9) = 9</t>
  </si>
  <si>
    <t>Minimum of A, B, C</t>
  </si>
  <si>
    <t>B</t>
  </si>
  <si>
    <t>D (0,j) = j
D (i,0) = i</t>
  </si>
  <si>
    <t>D (i-1,j) + 1</t>
  </si>
  <si>
    <t>D (i,j-1) + 1</t>
  </si>
  <si>
    <t>D (i-1,j-1) + D</t>
  </si>
  <si>
    <t>IF X[i]= Y[j]</t>
  </si>
  <si>
    <t>IF X[i] = Y[j]</t>
  </si>
  <si>
    <t>D (5,6)</t>
  </si>
  <si>
    <t>D (4,6) + 1</t>
  </si>
  <si>
    <t>D (5,5) + 1</t>
  </si>
  <si>
    <t>X[5] = N</t>
  </si>
  <si>
    <t>X[6] = T</t>
  </si>
  <si>
    <t>D (4,5) + (D=2)</t>
  </si>
  <si>
    <t>7+2=9</t>
  </si>
  <si>
    <t>8+1 = 9</t>
  </si>
  <si>
    <t>Edit Distance - Theory</t>
  </si>
  <si>
    <t>Text 1</t>
  </si>
  <si>
    <t>Text 2a</t>
  </si>
  <si>
    <t>Text 2b</t>
  </si>
  <si>
    <t>Text 2c</t>
  </si>
  <si>
    <t>Text 2d</t>
  </si>
  <si>
    <t>Text 2e</t>
  </si>
  <si>
    <t>Text Recommendations</t>
  </si>
  <si>
    <t>ID</t>
  </si>
  <si>
    <t>Length</t>
  </si>
  <si>
    <t>Min Edit 
Distance</t>
  </si>
  <si>
    <t>a</t>
  </si>
  <si>
    <t>Recommendation</t>
  </si>
  <si>
    <t>Minumum Edit Distance</t>
  </si>
  <si>
    <t>Input</t>
  </si>
  <si>
    <t>Suggestions</t>
  </si>
  <si>
    <t>d</t>
  </si>
  <si>
    <t>e</t>
  </si>
  <si>
    <t>u</t>
  </si>
  <si>
    <t>Plead</t>
  </si>
  <si>
    <t>Share</t>
  </si>
  <si>
    <t>Important</t>
  </si>
  <si>
    <t>Saving</t>
  </si>
  <si>
    <t>P</t>
  </si>
  <si>
    <t>l</t>
  </si>
  <si>
    <t>r</t>
  </si>
  <si>
    <t>Pure</t>
  </si>
  <si>
    <t>Omini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</si>
</sst>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5400A8"/>
      <name val="Tahoma"/>
      <family val="2"/>
    </font>
    <font>
      <sz val="8"/>
      <name val="Arial"/>
      <family val="2"/>
    </font>
    <font>
      <sz val="11"/>
      <color theme="3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2584BB"/>
      <name val="Tahoma"/>
      <family val="2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9">
    <xf numFmtId="0" fontId="0" fillId="0" borderId="0" xfId="0"/>
    <xf numFmtId="0" fontId="0" fillId="5" borderId="0" xfId="0" applyFill="1"/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1" xfId="1" applyFill="1" applyBorder="1"/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5" borderId="0" xfId="0" applyFont="1" applyFill="1"/>
    <xf numFmtId="0" fontId="4" fillId="0" borderId="1" xfId="0" applyFont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top" wrapText="1"/>
    </xf>
    <xf numFmtId="0" fontId="6" fillId="5" borderId="0" xfId="0" applyFont="1" applyFill="1"/>
    <xf numFmtId="0" fontId="2" fillId="3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6" borderId="0" xfId="0" applyFill="1"/>
    <xf numFmtId="0" fontId="8" fillId="0" borderId="1" xfId="0" applyFont="1" applyBorder="1" applyAlignment="1">
      <alignment horizontal="center" vertical="center" wrapText="1" readingOrder="1"/>
    </xf>
    <xf numFmtId="0" fontId="0" fillId="7" borderId="3" xfId="0" applyFill="1" applyBorder="1" applyAlignment="1">
      <alignment horizontal="center" vertical="center"/>
    </xf>
    <xf numFmtId="0" fontId="6" fillId="5" borderId="0" xfId="0" applyFont="1" applyFill="1" applyBorder="1"/>
    <xf numFmtId="0" fontId="6" fillId="5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 readingOrder="1"/>
    </xf>
    <xf numFmtId="0" fontId="0" fillId="11" borderId="0" xfId="0" applyFill="1"/>
    <xf numFmtId="0" fontId="0" fillId="13" borderId="1" xfId="0" applyFill="1" applyBorder="1" applyAlignment="1">
      <alignment horizontal="center" vertical="center"/>
    </xf>
    <xf numFmtId="0" fontId="0" fillId="11" borderId="1" xfId="0" applyFill="1" applyBorder="1"/>
    <xf numFmtId="0" fontId="0" fillId="14" borderId="1" xfId="0" applyFill="1" applyBorder="1"/>
    <xf numFmtId="0" fontId="0" fillId="13" borderId="4" xfId="0" applyFill="1" applyBorder="1" applyAlignment="1">
      <alignment horizontal="center" vertical="center"/>
    </xf>
    <xf numFmtId="0" fontId="0" fillId="11" borderId="4" xfId="0" applyFill="1" applyBorder="1"/>
    <xf numFmtId="0" fontId="0" fillId="14" borderId="4" xfId="0" applyFill="1" applyBorder="1"/>
    <xf numFmtId="0" fontId="0" fillId="3" borderId="1" xfId="0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9" fillId="11" borderId="0" xfId="0" applyFont="1" applyFill="1"/>
    <xf numFmtId="0" fontId="0" fillId="15" borderId="1" xfId="0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6" fillId="5" borderId="0" xfId="0" applyFont="1" applyFill="1" applyBorder="1" applyAlignment="1">
      <alignment horizontal="left" vertical="top"/>
    </xf>
    <xf numFmtId="0" fontId="10" fillId="12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11</xdr:row>
      <xdr:rowOff>150310</xdr:rowOff>
    </xdr:from>
    <xdr:to>
      <xdr:col>8</xdr:col>
      <xdr:colOff>571500</xdr:colOff>
      <xdr:row>13</xdr:row>
      <xdr:rowOff>33870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62600" y="2841123"/>
          <a:ext cx="1045369" cy="383622"/>
          <a:chOff x="5381625" y="2245810"/>
          <a:chExt cx="1047750" cy="264560"/>
        </a:xfrm>
      </xdr:grpSpPr>
      <xdr:sp macro="" textlink="">
        <xdr:nvSpPr>
          <xdr:cNvPr id="4" name="Arrow: Righ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5695059" y="2286000"/>
            <a:ext cx="734316" cy="190500"/>
          </a:xfrm>
          <a:prstGeom prst="rightArrow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381625" y="2245810"/>
            <a:ext cx="360163" cy="2645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i=0</a:t>
            </a:r>
          </a:p>
        </xdr:txBody>
      </xdr:sp>
    </xdr:grpSp>
    <xdr:clientData/>
  </xdr:twoCellAnchor>
  <xdr:twoCellAnchor>
    <xdr:from>
      <xdr:col>8</xdr:col>
      <xdr:colOff>381000</xdr:colOff>
      <xdr:row>6</xdr:row>
      <xdr:rowOff>8455</xdr:rowOff>
    </xdr:from>
    <xdr:to>
      <xdr:col>8</xdr:col>
      <xdr:colOff>551380</xdr:colOff>
      <xdr:row>10</xdr:row>
      <xdr:rowOff>46555</xdr:rowOff>
    </xdr:to>
    <xdr:sp macro="" textlink="">
      <xdr:nvSpPr>
        <xdr:cNvPr id="9" name="Arrow: Pentago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5924015" y="1466315"/>
          <a:ext cx="800100" cy="170380"/>
        </a:xfrm>
        <a:prstGeom prst="homePlate">
          <a:avLst/>
        </a:prstGeom>
        <a:solidFill>
          <a:schemeClr val="bg1"/>
        </a:solidFill>
        <a:ln>
          <a:solidFill>
            <a:schemeClr val="bg1"/>
          </a:solidFill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 = 1 to n</a:t>
          </a:r>
        </a:p>
      </xdr:txBody>
    </xdr:sp>
    <xdr:clientData/>
  </xdr:twoCellAnchor>
  <xdr:twoCellAnchor>
    <xdr:from>
      <xdr:col>10</xdr:col>
      <xdr:colOff>38095</xdr:colOff>
      <xdr:row>14</xdr:row>
      <xdr:rowOff>28582</xdr:rowOff>
    </xdr:from>
    <xdr:to>
      <xdr:col>10</xdr:col>
      <xdr:colOff>542922</xdr:colOff>
      <xdr:row>17</xdr:row>
      <xdr:rowOff>152404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896095" y="3469488"/>
          <a:ext cx="504827" cy="695322"/>
          <a:chOff x="6729200" y="2695576"/>
          <a:chExt cx="585033" cy="713298"/>
        </a:xfrm>
      </xdr:grpSpPr>
      <xdr:sp macro="" textlink="">
        <xdr:nvSpPr>
          <xdr:cNvPr id="11" name="Arrow: Righ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16200000">
            <a:off x="6737407" y="2841752"/>
            <a:ext cx="590550" cy="298198"/>
          </a:xfrm>
          <a:prstGeom prst="rightArrow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6729200" y="3255460"/>
            <a:ext cx="585033" cy="1534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j=0</a:t>
            </a:r>
          </a:p>
        </xdr:txBody>
      </xdr:sp>
    </xdr:grpSp>
    <xdr:clientData/>
  </xdr:twoCellAnchor>
  <xdr:twoCellAnchor>
    <xdr:from>
      <xdr:col>13</xdr:col>
      <xdr:colOff>85725</xdr:colOff>
      <xdr:row>14</xdr:row>
      <xdr:rowOff>47625</xdr:rowOff>
    </xdr:from>
    <xdr:to>
      <xdr:col>17</xdr:col>
      <xdr:colOff>0</xdr:colOff>
      <xdr:row>15</xdr:row>
      <xdr:rowOff>28575</xdr:rowOff>
    </xdr:to>
    <xdr:sp macro="" textlink="">
      <xdr:nvSpPr>
        <xdr:cNvPr id="13" name="Arrow: Pentago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3830300" y="2714625"/>
          <a:ext cx="714375" cy="171450"/>
        </a:xfrm>
        <a:prstGeom prst="homePlate">
          <a:avLst/>
        </a:prstGeom>
        <a:solidFill>
          <a:schemeClr val="bg1"/>
        </a:solidFill>
        <a:ln>
          <a:solidFill>
            <a:schemeClr val="bg1"/>
          </a:solidFill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 = 1 to m</a:t>
          </a:r>
        </a:p>
      </xdr:txBody>
    </xdr:sp>
    <xdr:clientData/>
  </xdr:twoCellAnchor>
  <xdr:twoCellAnchor>
    <xdr:from>
      <xdr:col>11</xdr:col>
      <xdr:colOff>148166</xdr:colOff>
      <xdr:row>24</xdr:row>
      <xdr:rowOff>52917</xdr:rowOff>
    </xdr:from>
    <xdr:to>
      <xdr:col>13</xdr:col>
      <xdr:colOff>338667</xdr:colOff>
      <xdr:row>26</xdr:row>
      <xdr:rowOff>169334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440083" y="4815417"/>
          <a:ext cx="1375834" cy="497417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Example</a:t>
          </a:r>
        </a:p>
      </xdr:txBody>
    </xdr:sp>
    <xdr:clientData/>
  </xdr:twoCellAnchor>
  <xdr:twoCellAnchor>
    <xdr:from>
      <xdr:col>47</xdr:col>
      <xdr:colOff>279134</xdr:colOff>
      <xdr:row>16</xdr:row>
      <xdr:rowOff>153457</xdr:rowOff>
    </xdr:from>
    <xdr:to>
      <xdr:col>50</xdr:col>
      <xdr:colOff>543718</xdr:colOff>
      <xdr:row>22</xdr:row>
      <xdr:rowOff>89958</xdr:rowOff>
    </xdr:to>
    <xdr:sp macro="" textlink="">
      <xdr:nvSpPr>
        <xdr:cNvPr id="20" name="Speech Bubble: Rectangle with Corners Rounded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851009" y="3201457"/>
          <a:ext cx="2086240" cy="1079501"/>
        </a:xfrm>
        <a:prstGeom prst="wedgeRoundRectCallout">
          <a:avLst>
            <a:gd name="adj1" fmla="val -150246"/>
            <a:gd name="adj2" fmla="val -27845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Minimum of </a:t>
          </a:r>
        </a:p>
        <a:p>
          <a:pPr algn="l"/>
          <a:r>
            <a:rPr lang="en-IN" sz="1100"/>
            <a:t>A)</a:t>
          </a:r>
          <a:r>
            <a:rPr lang="en-IN" sz="1100" baseline="0"/>
            <a:t> D (8,9) + 1 = 9 +1</a:t>
          </a:r>
        </a:p>
        <a:p>
          <a:pPr algn="l"/>
          <a:r>
            <a:rPr lang="en-IN" sz="1100" baseline="0"/>
            <a:t>B) D (9,8) + 1 = 9 +1 </a:t>
          </a:r>
        </a:p>
        <a:p>
          <a:pPr algn="l"/>
          <a:r>
            <a:rPr lang="en-IN" sz="1100" baseline="0"/>
            <a:t>C) D (8,8) + 0 (From Below) = 8</a:t>
          </a:r>
        </a:p>
        <a:p>
          <a:pPr algn="l"/>
          <a:r>
            <a:rPr lang="en-IN" sz="1100" baseline="0"/>
            <a:t>             0 : X[9]=Y[9]</a:t>
          </a:r>
        </a:p>
        <a:p>
          <a:pPr algn="l"/>
          <a:r>
            <a:rPr lang="en-IN" sz="1100" baseline="0"/>
            <a:t>             2 : X[9]!=Y[9]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6</xdr:row>
          <xdr:rowOff>28575</xdr:rowOff>
        </xdr:from>
        <xdr:to>
          <xdr:col>1</xdr:col>
          <xdr:colOff>619125</xdr:colOff>
          <xdr:row>7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C18"/>
  <sheetViews>
    <sheetView workbookViewId="0">
      <selection activeCell="B4" sqref="B4"/>
    </sheetView>
  </sheetViews>
  <sheetFormatPr defaultRowHeight="15" x14ac:dyDescent="0.25"/>
  <cols>
    <col min="1" max="1" width="8.140625" style="6" customWidth="1"/>
    <col min="2" max="2" width="27" style="1" customWidth="1"/>
    <col min="3" max="3" width="50.42578125" style="1" customWidth="1"/>
    <col min="4" max="16384" width="9.140625" style="1"/>
  </cols>
  <sheetData>
    <row r="3" spans="1:3" x14ac:dyDescent="0.25">
      <c r="A3" s="5" t="s">
        <v>0</v>
      </c>
      <c r="B3" s="5" t="s">
        <v>1</v>
      </c>
      <c r="C3" s="5" t="s">
        <v>2</v>
      </c>
    </row>
    <row r="4" spans="1:3" x14ac:dyDescent="0.25">
      <c r="A4" s="3">
        <v>1</v>
      </c>
      <c r="B4" s="7" t="s">
        <v>3</v>
      </c>
      <c r="C4" s="2" t="s">
        <v>4</v>
      </c>
    </row>
    <row r="5" spans="1:3" x14ac:dyDescent="0.25">
      <c r="A5" s="3"/>
      <c r="B5" s="2"/>
      <c r="C5" s="2" t="s">
        <v>5</v>
      </c>
    </row>
    <row r="6" spans="1:3" x14ac:dyDescent="0.25">
      <c r="A6" s="3"/>
      <c r="B6" s="2"/>
      <c r="C6" s="2" t="s">
        <v>6</v>
      </c>
    </row>
    <row r="7" spans="1:3" x14ac:dyDescent="0.25">
      <c r="A7" s="3">
        <v>2</v>
      </c>
      <c r="B7" s="2" t="s">
        <v>7</v>
      </c>
      <c r="C7" s="2" t="s">
        <v>8</v>
      </c>
    </row>
    <row r="8" spans="1:3" x14ac:dyDescent="0.25">
      <c r="A8" s="3"/>
      <c r="B8" s="2"/>
      <c r="C8" s="2" t="s">
        <v>9</v>
      </c>
    </row>
    <row r="9" spans="1:3" x14ac:dyDescent="0.25">
      <c r="A9" s="3"/>
      <c r="B9" s="2"/>
      <c r="C9" s="2" t="s">
        <v>10</v>
      </c>
    </row>
    <row r="10" spans="1:3" x14ac:dyDescent="0.25">
      <c r="A10" s="3">
        <v>3</v>
      </c>
      <c r="B10" s="2" t="s">
        <v>11</v>
      </c>
      <c r="C10" s="2" t="s">
        <v>12</v>
      </c>
    </row>
    <row r="11" spans="1:3" x14ac:dyDescent="0.25">
      <c r="A11" s="3"/>
      <c r="B11" s="2"/>
      <c r="C11" s="2" t="s">
        <v>13</v>
      </c>
    </row>
    <row r="12" spans="1:3" x14ac:dyDescent="0.25">
      <c r="A12" s="3"/>
      <c r="B12" s="2"/>
      <c r="C12" s="2" t="s">
        <v>14</v>
      </c>
    </row>
    <row r="13" spans="1:3" x14ac:dyDescent="0.25">
      <c r="A13" s="3">
        <v>4</v>
      </c>
      <c r="B13" s="2" t="s">
        <v>15</v>
      </c>
      <c r="C13" s="2" t="s">
        <v>16</v>
      </c>
    </row>
    <row r="14" spans="1:3" x14ac:dyDescent="0.25">
      <c r="A14" s="3"/>
      <c r="B14" s="2"/>
      <c r="C14" s="2" t="s">
        <v>17</v>
      </c>
    </row>
    <row r="15" spans="1:3" x14ac:dyDescent="0.25">
      <c r="A15" s="3"/>
      <c r="B15" s="2"/>
      <c r="C15" s="2" t="s">
        <v>18</v>
      </c>
    </row>
    <row r="16" spans="1:3" x14ac:dyDescent="0.25">
      <c r="A16" s="3">
        <v>5</v>
      </c>
      <c r="B16" s="2" t="s">
        <v>19</v>
      </c>
      <c r="C16" s="2" t="s">
        <v>20</v>
      </c>
    </row>
    <row r="17" spans="1:3" x14ac:dyDescent="0.25">
      <c r="A17" s="3"/>
      <c r="B17" s="2"/>
      <c r="C17" s="2" t="s">
        <v>21</v>
      </c>
    </row>
    <row r="18" spans="1:3" x14ac:dyDescent="0.25">
      <c r="A18" s="3"/>
      <c r="B18" s="2"/>
      <c r="C18" s="2" t="s">
        <v>22</v>
      </c>
    </row>
  </sheetData>
  <hyperlinks>
    <hyperlink ref="B4" location="'Session 1'!A1" display="Session 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R29"/>
  <sheetViews>
    <sheetView topLeftCell="J1" zoomScale="80" zoomScaleNormal="80" workbookViewId="0">
      <selection activeCell="AA10" sqref="AA10"/>
    </sheetView>
  </sheetViews>
  <sheetFormatPr defaultRowHeight="15" customHeight="1" x14ac:dyDescent="0.25"/>
  <cols>
    <col min="1" max="1" width="9.140625" style="1" customWidth="1"/>
    <col min="2" max="3" width="13.5703125" style="1" customWidth="1"/>
    <col min="4" max="4" width="13.7109375" style="1" customWidth="1"/>
    <col min="5" max="5" width="9.140625" style="1" customWidth="1"/>
    <col min="6" max="6" width="13.140625" style="1" customWidth="1"/>
    <col min="7" max="9" width="9.140625" style="1" customWidth="1"/>
    <col min="10" max="10" width="3.140625" style="1" customWidth="1"/>
    <col min="11" max="15" width="8.85546875" style="1" customWidth="1"/>
    <col min="16" max="16" width="13" style="1" customWidth="1"/>
    <col min="17" max="17" width="8.85546875" style="1" customWidth="1"/>
    <col min="18" max="18" width="11.28515625" style="1" customWidth="1"/>
    <col min="19" max="20" width="8.85546875" style="1" customWidth="1"/>
    <col min="21" max="21" width="3" style="1" customWidth="1"/>
    <col min="22" max="32" width="8.7109375" style="1" customWidth="1"/>
    <col min="33" max="33" width="3" style="1" customWidth="1"/>
    <col min="34" max="35" width="2.140625" style="10" customWidth="1"/>
    <col min="36" max="37" width="2" style="10" customWidth="1"/>
    <col min="38" max="44" width="3" style="10" customWidth="1"/>
    <col min="45" max="45" width="9.140625" style="1" customWidth="1"/>
    <col min="46" max="16384" width="9.140625" style="1"/>
  </cols>
  <sheetData>
    <row r="2" spans="2:44" ht="20.100000000000001" customHeight="1" x14ac:dyDescent="0.25">
      <c r="J2" s="43" t="s">
        <v>87</v>
      </c>
      <c r="K2" s="43"/>
      <c r="L2" s="43"/>
      <c r="M2" s="43"/>
      <c r="N2" s="43"/>
      <c r="O2" s="43"/>
      <c r="P2" s="43"/>
      <c r="Q2" s="43"/>
      <c r="R2" s="43"/>
      <c r="S2" s="43"/>
      <c r="T2" s="43"/>
      <c r="V2" s="45" t="s">
        <v>100</v>
      </c>
      <c r="W2" s="45"/>
      <c r="X2" s="45"/>
      <c r="Y2" s="45"/>
      <c r="Z2" s="45"/>
      <c r="AA2" s="45"/>
      <c r="AB2" s="45"/>
      <c r="AC2" s="45"/>
      <c r="AD2" s="45"/>
      <c r="AE2" s="45"/>
      <c r="AF2" s="45"/>
      <c r="AH2" s="43" t="s">
        <v>52</v>
      </c>
      <c r="AI2" s="43"/>
      <c r="AJ2" s="43"/>
      <c r="AK2" s="43"/>
      <c r="AL2" s="43"/>
      <c r="AM2" s="43"/>
      <c r="AN2" s="43"/>
      <c r="AO2" s="43"/>
      <c r="AP2" s="43"/>
      <c r="AQ2" s="43"/>
      <c r="AR2" s="43"/>
    </row>
    <row r="3" spans="2:44" ht="20.100000000000001" customHeight="1" x14ac:dyDescent="0.25">
      <c r="B3" s="4" t="s">
        <v>23</v>
      </c>
      <c r="C3" s="8" t="s">
        <v>27</v>
      </c>
      <c r="E3" s="4" t="s">
        <v>24</v>
      </c>
      <c r="F3" s="8" t="s">
        <v>28</v>
      </c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</row>
    <row r="4" spans="2:44" ht="20.100000000000001" customHeight="1" x14ac:dyDescent="0.25">
      <c r="B4" s="20" t="s">
        <v>25</v>
      </c>
      <c r="C4" s="20">
        <f>LEN(C3)</f>
        <v>9</v>
      </c>
      <c r="E4" s="20" t="s">
        <v>26</v>
      </c>
      <c r="F4" s="20">
        <f>LEN(F3)</f>
        <v>9</v>
      </c>
      <c r="I4" s="13">
        <f t="shared" ref="I4:I10" si="0">I5+1</f>
        <v>9</v>
      </c>
      <c r="J4" s="5" t="s">
        <v>41</v>
      </c>
      <c r="K4" s="14" t="s">
        <v>55</v>
      </c>
      <c r="L4" s="15" t="str">
        <f t="shared" ref="L4:T12" si="1">CONCATENATE("D (",$I4,",",L$15,")")</f>
        <v>D (9,1)</v>
      </c>
      <c r="M4" s="15" t="str">
        <f t="shared" si="1"/>
        <v>D (9,2)</v>
      </c>
      <c r="N4" s="15" t="str">
        <f t="shared" si="1"/>
        <v>D (9,3)</v>
      </c>
      <c r="O4" s="15" t="str">
        <f t="shared" si="1"/>
        <v>D (9,4)</v>
      </c>
      <c r="P4" s="15" t="str">
        <f t="shared" si="1"/>
        <v>D (9,5)</v>
      </c>
      <c r="Q4" s="15" t="str">
        <f t="shared" si="1"/>
        <v>D (9,6)</v>
      </c>
      <c r="R4" s="15" t="str">
        <f t="shared" si="1"/>
        <v>D (9,7)</v>
      </c>
      <c r="S4" s="15" t="str">
        <f t="shared" si="1"/>
        <v>D (9,8)</v>
      </c>
      <c r="T4" s="15" t="str">
        <f t="shared" si="1"/>
        <v>D (9,9)</v>
      </c>
      <c r="V4" s="37"/>
      <c r="W4" s="9">
        <f t="shared" ref="W4:W10" si="2">W5+1</f>
        <v>9</v>
      </c>
      <c r="X4" s="3">
        <f t="shared" ref="X4:AF4" si="3">MIN(X5+1,W4+1,W5+IF($V4=X$14,0,2))</f>
        <v>8</v>
      </c>
      <c r="Y4" s="3">
        <f t="shared" si="3"/>
        <v>9</v>
      </c>
      <c r="Z4" s="3">
        <f t="shared" si="3"/>
        <v>10</v>
      </c>
      <c r="AA4" s="3">
        <f t="shared" si="3"/>
        <v>9</v>
      </c>
      <c r="AB4" s="3">
        <f t="shared" si="3"/>
        <v>8</v>
      </c>
      <c r="AC4" s="3">
        <f t="shared" si="3"/>
        <v>7</v>
      </c>
      <c r="AD4" s="3">
        <f t="shared" si="3"/>
        <v>6</v>
      </c>
      <c r="AE4" s="3">
        <f t="shared" si="3"/>
        <v>5</v>
      </c>
      <c r="AF4" s="3">
        <f t="shared" si="3"/>
        <v>6</v>
      </c>
      <c r="AH4" s="11" t="s">
        <v>41</v>
      </c>
      <c r="AI4" s="19">
        <v>9</v>
      </c>
      <c r="AJ4" s="19">
        <v>8</v>
      </c>
      <c r="AK4" s="19">
        <v>9</v>
      </c>
      <c r="AL4" s="19">
        <v>10</v>
      </c>
      <c r="AM4" s="19">
        <v>11</v>
      </c>
      <c r="AN4" s="19">
        <v>12</v>
      </c>
      <c r="AO4" s="19">
        <v>11</v>
      </c>
      <c r="AP4" s="19">
        <v>10</v>
      </c>
      <c r="AQ4" s="19">
        <v>9</v>
      </c>
      <c r="AR4" s="24">
        <v>8</v>
      </c>
    </row>
    <row r="5" spans="2:44" ht="20.100000000000001" customHeight="1" x14ac:dyDescent="0.25">
      <c r="B5" s="21"/>
      <c r="C5" s="21"/>
      <c r="D5" s="21"/>
      <c r="E5" s="21"/>
      <c r="F5" s="21"/>
      <c r="I5" s="13">
        <f t="shared" si="0"/>
        <v>8</v>
      </c>
      <c r="J5" s="5" t="s">
        <v>44</v>
      </c>
      <c r="K5" s="14" t="s">
        <v>56</v>
      </c>
      <c r="L5" s="15" t="str">
        <f t="shared" si="1"/>
        <v>D (8,1)</v>
      </c>
      <c r="M5" s="15" t="str">
        <f t="shared" si="1"/>
        <v>D (8,2)</v>
      </c>
      <c r="N5" s="15" t="str">
        <f t="shared" si="1"/>
        <v>D (8,3)</v>
      </c>
      <c r="O5" s="15" t="str">
        <f t="shared" si="1"/>
        <v>D (8,4)</v>
      </c>
      <c r="P5" s="15" t="str">
        <f t="shared" si="1"/>
        <v>D (8,5)</v>
      </c>
      <c r="Q5" s="15" t="str">
        <f t="shared" si="1"/>
        <v>D (8,6)</v>
      </c>
      <c r="R5" s="15" t="str">
        <f t="shared" si="1"/>
        <v>D (8,7)</v>
      </c>
      <c r="S5" s="15" t="str">
        <f t="shared" si="1"/>
        <v>D (8,8)</v>
      </c>
      <c r="T5" s="15" t="str">
        <f t="shared" si="1"/>
        <v>D (8,9)</v>
      </c>
      <c r="V5" s="37"/>
      <c r="W5" s="9">
        <f t="shared" si="2"/>
        <v>8</v>
      </c>
      <c r="X5" s="3">
        <f t="shared" ref="X5:AF5" si="4">MIN(X6+1,W5+1,W6+IF($V5=X$14,0,2))</f>
        <v>7</v>
      </c>
      <c r="Y5" s="3">
        <f t="shared" si="4"/>
        <v>8</v>
      </c>
      <c r="Z5" s="3">
        <f t="shared" si="4"/>
        <v>9</v>
      </c>
      <c r="AA5" s="3">
        <f t="shared" si="4"/>
        <v>8</v>
      </c>
      <c r="AB5" s="3">
        <f t="shared" si="4"/>
        <v>7</v>
      </c>
      <c r="AC5" s="3">
        <f t="shared" si="4"/>
        <v>6</v>
      </c>
      <c r="AD5" s="3">
        <f t="shared" si="4"/>
        <v>5</v>
      </c>
      <c r="AE5" s="3">
        <f t="shared" si="4"/>
        <v>6</v>
      </c>
      <c r="AF5" s="3">
        <f t="shared" si="4"/>
        <v>7</v>
      </c>
      <c r="AH5" s="11" t="s">
        <v>44</v>
      </c>
      <c r="AI5" s="19">
        <v>8</v>
      </c>
      <c r="AJ5" s="19">
        <v>7</v>
      </c>
      <c r="AK5" s="19">
        <v>8</v>
      </c>
      <c r="AL5" s="19">
        <v>9</v>
      </c>
      <c r="AM5" s="19">
        <v>10</v>
      </c>
      <c r="AN5" s="19">
        <v>11</v>
      </c>
      <c r="AO5" s="19">
        <v>10</v>
      </c>
      <c r="AP5" s="19">
        <v>9</v>
      </c>
      <c r="AQ5" s="24">
        <v>8</v>
      </c>
      <c r="AR5" s="19">
        <v>9</v>
      </c>
    </row>
    <row r="6" spans="2:44" ht="20.100000000000001" customHeight="1" x14ac:dyDescent="0.25">
      <c r="B6" s="22" t="s">
        <v>31</v>
      </c>
      <c r="C6" s="39" t="s">
        <v>30</v>
      </c>
      <c r="D6" s="39"/>
      <c r="E6" s="39"/>
      <c r="F6" s="39"/>
      <c r="I6" s="13">
        <f t="shared" si="0"/>
        <v>7</v>
      </c>
      <c r="J6" s="5" t="s">
        <v>40</v>
      </c>
      <c r="K6" s="14" t="s">
        <v>57</v>
      </c>
      <c r="L6" s="15" t="str">
        <f t="shared" si="1"/>
        <v>D (7,1)</v>
      </c>
      <c r="M6" s="15" t="str">
        <f t="shared" si="1"/>
        <v>D (7,2)</v>
      </c>
      <c r="N6" s="15" t="str">
        <f t="shared" si="1"/>
        <v>D (7,3)</v>
      </c>
      <c r="O6" s="15" t="str">
        <f t="shared" si="1"/>
        <v>D (7,4)</v>
      </c>
      <c r="P6" s="15" t="str">
        <f t="shared" si="1"/>
        <v>D (7,5)</v>
      </c>
      <c r="Q6" s="15" t="str">
        <f t="shared" si="1"/>
        <v>D (7,6)</v>
      </c>
      <c r="R6" s="15" t="str">
        <f t="shared" si="1"/>
        <v>D (7,7)</v>
      </c>
      <c r="S6" s="15" t="str">
        <f t="shared" si="1"/>
        <v>D (7,8)</v>
      </c>
      <c r="T6" s="15" t="str">
        <f t="shared" si="1"/>
        <v>D (7,9)</v>
      </c>
      <c r="V6" s="37"/>
      <c r="W6" s="9">
        <f t="shared" si="2"/>
        <v>7</v>
      </c>
      <c r="X6" s="3">
        <f t="shared" ref="X6:Z6" si="5">MIN(X7+1,W6+1,W7+IF($V6=X$14,0,2))</f>
        <v>6</v>
      </c>
      <c r="Y6" s="3">
        <f t="shared" si="5"/>
        <v>7</v>
      </c>
      <c r="Z6" s="3">
        <f t="shared" si="5"/>
        <v>8</v>
      </c>
      <c r="AA6" s="3">
        <f>MIN(AA7+1,Z6+1,Z7+IF($V6=AA$14,0,2))</f>
        <v>7</v>
      </c>
      <c r="AB6" s="3">
        <f t="shared" ref="AB6:AF6" si="6">MIN(AB7+1,AA6+1,AA7+IF($V6=AB$14,0,2))</f>
        <v>6</v>
      </c>
      <c r="AC6" s="3">
        <f t="shared" si="6"/>
        <v>5</v>
      </c>
      <c r="AD6" s="3">
        <f t="shared" si="6"/>
        <v>6</v>
      </c>
      <c r="AE6" s="3">
        <f t="shared" si="6"/>
        <v>7</v>
      </c>
      <c r="AF6" s="3">
        <f t="shared" si="6"/>
        <v>8</v>
      </c>
      <c r="AH6" s="11" t="s">
        <v>40</v>
      </c>
      <c r="AI6" s="19">
        <v>7</v>
      </c>
      <c r="AJ6" s="19">
        <v>6</v>
      </c>
      <c r="AK6" s="19">
        <v>7</v>
      </c>
      <c r="AL6" s="19">
        <v>8</v>
      </c>
      <c r="AM6" s="19">
        <v>9</v>
      </c>
      <c r="AN6" s="19">
        <v>10</v>
      </c>
      <c r="AO6" s="19">
        <v>9</v>
      </c>
      <c r="AP6" s="24">
        <v>8</v>
      </c>
      <c r="AQ6" s="19">
        <v>9</v>
      </c>
      <c r="AR6" s="19">
        <v>10</v>
      </c>
    </row>
    <row r="7" spans="2:44" ht="20.100000000000001" customHeight="1" x14ac:dyDescent="0.25">
      <c r="B7" s="38" t="s">
        <v>34</v>
      </c>
      <c r="C7" s="39" t="s">
        <v>32</v>
      </c>
      <c r="D7" s="39"/>
      <c r="E7" s="39"/>
      <c r="F7" s="39"/>
      <c r="I7" s="13">
        <f t="shared" si="0"/>
        <v>6</v>
      </c>
      <c r="J7" s="5" t="s">
        <v>42</v>
      </c>
      <c r="K7" s="14" t="s">
        <v>58</v>
      </c>
      <c r="L7" s="15" t="str">
        <f t="shared" si="1"/>
        <v>D (6,1)</v>
      </c>
      <c r="M7" s="15" t="str">
        <f t="shared" si="1"/>
        <v>D (6,2)</v>
      </c>
      <c r="N7" s="15" t="str">
        <f t="shared" si="1"/>
        <v>D (6,3)</v>
      </c>
      <c r="O7" s="15" t="str">
        <f t="shared" si="1"/>
        <v>D (6,4)</v>
      </c>
      <c r="P7" s="15" t="str">
        <f t="shared" si="1"/>
        <v>D (6,5)</v>
      </c>
      <c r="Q7" s="15" t="str">
        <f t="shared" si="1"/>
        <v>D (6,6)</v>
      </c>
      <c r="R7" s="15" t="str">
        <f t="shared" si="1"/>
        <v>D (6,7)</v>
      </c>
      <c r="S7" s="15" t="str">
        <f t="shared" si="1"/>
        <v>D (6,8)</v>
      </c>
      <c r="T7" s="15" t="str">
        <f t="shared" si="1"/>
        <v>D (6,9)</v>
      </c>
      <c r="V7" s="37"/>
      <c r="W7" s="9">
        <f t="shared" si="2"/>
        <v>6</v>
      </c>
      <c r="X7" s="3">
        <f t="shared" ref="X7:AF7" si="7">MIN(X8+1,W7+1,W8+IF($V7=X$14,0,2))</f>
        <v>5</v>
      </c>
      <c r="Y7" s="3">
        <f t="shared" si="7"/>
        <v>6</v>
      </c>
      <c r="Z7" s="3">
        <f t="shared" si="7"/>
        <v>7</v>
      </c>
      <c r="AA7" s="3">
        <f t="shared" si="7"/>
        <v>6</v>
      </c>
      <c r="AB7" s="3">
        <f t="shared" si="7"/>
        <v>5</v>
      </c>
      <c r="AC7" s="3">
        <f t="shared" si="7"/>
        <v>6</v>
      </c>
      <c r="AD7" s="3">
        <f t="shared" si="7"/>
        <v>7</v>
      </c>
      <c r="AE7" s="3">
        <f t="shared" si="7"/>
        <v>8</v>
      </c>
      <c r="AF7" s="3">
        <f t="shared" si="7"/>
        <v>9</v>
      </c>
      <c r="AH7" s="11" t="s">
        <v>42</v>
      </c>
      <c r="AI7" s="19">
        <v>6</v>
      </c>
      <c r="AJ7" s="19">
        <v>5</v>
      </c>
      <c r="AK7" s="19">
        <v>6</v>
      </c>
      <c r="AL7" s="19">
        <v>7</v>
      </c>
      <c r="AM7" s="19">
        <v>8</v>
      </c>
      <c r="AN7" s="19">
        <v>9</v>
      </c>
      <c r="AO7" s="24">
        <v>8</v>
      </c>
      <c r="AP7" s="19">
        <v>9</v>
      </c>
      <c r="AQ7" s="19">
        <v>10</v>
      </c>
      <c r="AR7" s="19">
        <v>11</v>
      </c>
    </row>
    <row r="8" spans="2:44" ht="20.100000000000001" customHeight="1" x14ac:dyDescent="0.25">
      <c r="B8" s="38"/>
      <c r="C8" s="47" t="s">
        <v>33</v>
      </c>
      <c r="D8" s="47"/>
      <c r="E8" s="47"/>
      <c r="F8" s="47"/>
      <c r="I8" s="13">
        <f t="shared" si="0"/>
        <v>5</v>
      </c>
      <c r="J8" s="5" t="s">
        <v>41</v>
      </c>
      <c r="K8" s="14" t="s">
        <v>59</v>
      </c>
      <c r="L8" s="15" t="str">
        <f t="shared" si="1"/>
        <v>D (5,1)</v>
      </c>
      <c r="M8" s="15" t="str">
        <f t="shared" si="1"/>
        <v>D (5,2)</v>
      </c>
      <c r="N8" s="15" t="str">
        <f t="shared" si="1"/>
        <v>D (5,3)</v>
      </c>
      <c r="O8" s="15" t="str">
        <f t="shared" si="1"/>
        <v>D (5,4)</v>
      </c>
      <c r="P8" s="15" t="str">
        <f t="shared" si="1"/>
        <v>D (5,5)</v>
      </c>
      <c r="Q8" s="15" t="str">
        <f t="shared" si="1"/>
        <v>D (5,6)</v>
      </c>
      <c r="R8" s="15" t="str">
        <f t="shared" si="1"/>
        <v>D (5,7)</v>
      </c>
      <c r="S8" s="15" t="str">
        <f t="shared" si="1"/>
        <v>D (5,8)</v>
      </c>
      <c r="T8" s="15" t="str">
        <f t="shared" si="1"/>
        <v>D (5,9)</v>
      </c>
      <c r="V8" s="37" t="s">
        <v>103</v>
      </c>
      <c r="W8" s="9">
        <f t="shared" si="2"/>
        <v>5</v>
      </c>
      <c r="X8" s="3">
        <f t="shared" ref="X8:AF8" si="8">MIN(X9+1,W8+1,W9+IF($V8=X$14,0,2))</f>
        <v>4</v>
      </c>
      <c r="Y8" s="3">
        <f t="shared" si="8"/>
        <v>5</v>
      </c>
      <c r="Z8" s="3">
        <f t="shared" si="8"/>
        <v>6</v>
      </c>
      <c r="AA8" s="3">
        <f t="shared" si="8"/>
        <v>5</v>
      </c>
      <c r="AB8" s="3">
        <f t="shared" si="8"/>
        <v>6</v>
      </c>
      <c r="AC8" s="3">
        <f t="shared" si="8"/>
        <v>7</v>
      </c>
      <c r="AD8" s="3">
        <f t="shared" si="8"/>
        <v>8</v>
      </c>
      <c r="AE8" s="3">
        <f t="shared" si="8"/>
        <v>9</v>
      </c>
      <c r="AF8" s="3">
        <f t="shared" si="8"/>
        <v>10</v>
      </c>
      <c r="AH8" s="11" t="s">
        <v>41</v>
      </c>
      <c r="AI8" s="19">
        <v>5</v>
      </c>
      <c r="AJ8" s="19">
        <v>4</v>
      </c>
      <c r="AK8" s="19">
        <v>5</v>
      </c>
      <c r="AL8" s="19">
        <v>6</v>
      </c>
      <c r="AM8" s="19">
        <v>7</v>
      </c>
      <c r="AN8" s="24">
        <v>8</v>
      </c>
      <c r="AO8" s="19">
        <v>9</v>
      </c>
      <c r="AP8" s="19">
        <v>10</v>
      </c>
      <c r="AQ8" s="19">
        <v>11</v>
      </c>
      <c r="AR8" s="19">
        <v>10</v>
      </c>
    </row>
    <row r="9" spans="2:44" ht="20.100000000000001" customHeight="1" x14ac:dyDescent="0.25">
      <c r="B9" s="40" t="s">
        <v>35</v>
      </c>
      <c r="C9" s="39" t="s">
        <v>36</v>
      </c>
      <c r="D9" s="39"/>
      <c r="E9" s="39"/>
      <c r="F9" s="39"/>
      <c r="I9" s="13">
        <f t="shared" si="0"/>
        <v>4</v>
      </c>
      <c r="J9" s="5" t="s">
        <v>43</v>
      </c>
      <c r="K9" s="14" t="s">
        <v>60</v>
      </c>
      <c r="L9" s="15" t="str">
        <f t="shared" si="1"/>
        <v>D (4,1)</v>
      </c>
      <c r="M9" s="15" t="str">
        <f t="shared" si="1"/>
        <v>D (4,2)</v>
      </c>
      <c r="N9" s="15" t="str">
        <f t="shared" si="1"/>
        <v>D (4,3)</v>
      </c>
      <c r="O9" s="15" t="str">
        <f t="shared" si="1"/>
        <v>D (4,4)</v>
      </c>
      <c r="P9" s="15" t="str">
        <f t="shared" si="1"/>
        <v>D (4,5)</v>
      </c>
      <c r="Q9" s="15" t="str">
        <f t="shared" si="1"/>
        <v>D (4,6)</v>
      </c>
      <c r="R9" s="15" t="str">
        <f t="shared" si="1"/>
        <v>D (4,7)</v>
      </c>
      <c r="S9" s="15" t="str">
        <f t="shared" si="1"/>
        <v>D (4,8)</v>
      </c>
      <c r="T9" s="15" t="str">
        <f t="shared" si="1"/>
        <v>D (4,9)</v>
      </c>
      <c r="V9" s="37" t="s">
        <v>98</v>
      </c>
      <c r="W9" s="9">
        <f t="shared" si="2"/>
        <v>4</v>
      </c>
      <c r="X9" s="3">
        <f t="shared" ref="X9:AF9" si="9">MIN(X10+1,W9+1,W10+IF($V9=X$14,0,2))</f>
        <v>3</v>
      </c>
      <c r="Y9" s="3">
        <f t="shared" si="9"/>
        <v>4</v>
      </c>
      <c r="Z9" s="3">
        <f t="shared" si="9"/>
        <v>5</v>
      </c>
      <c r="AA9" s="3">
        <f t="shared" si="9"/>
        <v>4</v>
      </c>
      <c r="AB9" s="3">
        <f t="shared" si="9"/>
        <v>5</v>
      </c>
      <c r="AC9" s="3">
        <f t="shared" si="9"/>
        <v>6</v>
      </c>
      <c r="AD9" s="3">
        <f t="shared" si="9"/>
        <v>7</v>
      </c>
      <c r="AE9" s="3">
        <f t="shared" si="9"/>
        <v>8</v>
      </c>
      <c r="AF9" s="3">
        <f t="shared" si="9"/>
        <v>9</v>
      </c>
      <c r="AH9" s="11" t="s">
        <v>43</v>
      </c>
      <c r="AI9" s="19">
        <v>4</v>
      </c>
      <c r="AJ9" s="19">
        <v>3</v>
      </c>
      <c r="AK9" s="19">
        <v>4</v>
      </c>
      <c r="AL9" s="24">
        <v>5</v>
      </c>
      <c r="AM9" s="24">
        <v>6</v>
      </c>
      <c r="AN9" s="19">
        <v>7</v>
      </c>
      <c r="AO9" s="19">
        <v>8</v>
      </c>
      <c r="AP9" s="19">
        <v>9</v>
      </c>
      <c r="AQ9" s="19">
        <v>10</v>
      </c>
      <c r="AR9" s="19">
        <v>9</v>
      </c>
    </row>
    <row r="10" spans="2:44" ht="20.100000000000001" customHeight="1" x14ac:dyDescent="0.25">
      <c r="B10" s="40"/>
      <c r="C10" s="39" t="s">
        <v>37</v>
      </c>
      <c r="D10" s="39"/>
      <c r="E10" s="39"/>
      <c r="F10" s="39"/>
      <c r="I10" s="13">
        <f t="shared" si="0"/>
        <v>3</v>
      </c>
      <c r="J10" s="5" t="s">
        <v>42</v>
      </c>
      <c r="K10" s="14" t="s">
        <v>61</v>
      </c>
      <c r="L10" s="15" t="str">
        <f t="shared" si="1"/>
        <v>D (3,1)</v>
      </c>
      <c r="M10" s="15" t="str">
        <f t="shared" si="1"/>
        <v>D (3,2)</v>
      </c>
      <c r="N10" s="15" t="str">
        <f t="shared" si="1"/>
        <v>D (3,3)</v>
      </c>
      <c r="O10" s="15" t="str">
        <f t="shared" si="1"/>
        <v>D (3,4)</v>
      </c>
      <c r="P10" s="15" t="str">
        <f t="shared" si="1"/>
        <v>D (3,5)</v>
      </c>
      <c r="Q10" s="15" t="str">
        <f t="shared" si="1"/>
        <v>D (3,6)</v>
      </c>
      <c r="R10" s="15" t="str">
        <f t="shared" si="1"/>
        <v>D (3,7)</v>
      </c>
      <c r="S10" s="15" t="str">
        <f t="shared" si="1"/>
        <v>D (3,8)</v>
      </c>
      <c r="T10" s="15" t="str">
        <f t="shared" si="1"/>
        <v>D (3,9)</v>
      </c>
      <c r="V10" s="37" t="s">
        <v>104</v>
      </c>
      <c r="W10" s="9">
        <f t="shared" si="2"/>
        <v>3</v>
      </c>
      <c r="X10" s="3">
        <f t="shared" ref="X10:AF10" si="10">MIN(X11+1,W10+1,W11+IF($V10=X$14,0,2))</f>
        <v>2</v>
      </c>
      <c r="Y10" s="3">
        <f t="shared" si="10"/>
        <v>3</v>
      </c>
      <c r="Z10" s="3">
        <f t="shared" si="10"/>
        <v>4</v>
      </c>
      <c r="AA10" s="3">
        <f t="shared" si="10"/>
        <v>3</v>
      </c>
      <c r="AB10" s="3">
        <f t="shared" si="10"/>
        <v>4</v>
      </c>
      <c r="AC10" s="3">
        <f t="shared" si="10"/>
        <v>5</v>
      </c>
      <c r="AD10" s="3">
        <f t="shared" si="10"/>
        <v>6</v>
      </c>
      <c r="AE10" s="3">
        <f t="shared" si="10"/>
        <v>7</v>
      </c>
      <c r="AF10" s="3">
        <f t="shared" si="10"/>
        <v>8</v>
      </c>
      <c r="AH10" s="11" t="s">
        <v>42</v>
      </c>
      <c r="AI10" s="19">
        <v>3</v>
      </c>
      <c r="AJ10" s="19">
        <v>4</v>
      </c>
      <c r="AK10" s="24">
        <v>5</v>
      </c>
      <c r="AL10" s="19">
        <v>6</v>
      </c>
      <c r="AM10" s="19">
        <v>7</v>
      </c>
      <c r="AN10" s="19">
        <v>8</v>
      </c>
      <c r="AO10" s="19">
        <v>7</v>
      </c>
      <c r="AP10" s="19">
        <v>8</v>
      </c>
      <c r="AQ10" s="19">
        <v>9</v>
      </c>
      <c r="AR10" s="19">
        <v>8</v>
      </c>
    </row>
    <row r="11" spans="2:44" ht="20.100000000000001" customHeight="1" x14ac:dyDescent="0.25">
      <c r="B11" s="21"/>
      <c r="C11" s="21"/>
      <c r="D11" s="21"/>
      <c r="E11" s="21"/>
      <c r="F11" s="21"/>
      <c r="I11" s="13">
        <f>I12+1</f>
        <v>2</v>
      </c>
      <c r="J11" s="5" t="s">
        <v>41</v>
      </c>
      <c r="K11" s="14" t="s">
        <v>54</v>
      </c>
      <c r="L11" s="15" t="str">
        <f t="shared" si="1"/>
        <v>D (2,1)</v>
      </c>
      <c r="M11" s="15" t="str">
        <f t="shared" si="1"/>
        <v>D (2,2)</v>
      </c>
      <c r="N11" s="15" t="str">
        <f t="shared" si="1"/>
        <v>D (2,3)</v>
      </c>
      <c r="O11" s="15" t="str">
        <f t="shared" si="1"/>
        <v>D (2,4)</v>
      </c>
      <c r="P11" s="15" t="str">
        <f t="shared" si="1"/>
        <v>D (2,5)</v>
      </c>
      <c r="Q11" s="15" t="str">
        <f t="shared" si="1"/>
        <v>D (2,6)</v>
      </c>
      <c r="R11" s="15" t="str">
        <f t="shared" si="1"/>
        <v>D (2,7)</v>
      </c>
      <c r="S11" s="15" t="str">
        <f t="shared" si="1"/>
        <v>D (2,8)</v>
      </c>
      <c r="T11" s="15" t="str">
        <f t="shared" si="1"/>
        <v>D (2,9)</v>
      </c>
      <c r="V11" s="37" t="s">
        <v>111</v>
      </c>
      <c r="W11" s="9">
        <f>W12+1</f>
        <v>2</v>
      </c>
      <c r="X11" s="3">
        <f t="shared" ref="X11:AF11" si="11">MIN(X12+1,W11+1,W12+IF($V11=X$14,0,2))</f>
        <v>1</v>
      </c>
      <c r="Y11" s="3">
        <f t="shared" si="11"/>
        <v>2</v>
      </c>
      <c r="Z11" s="3">
        <f t="shared" si="11"/>
        <v>3</v>
      </c>
      <c r="AA11" s="3">
        <f t="shared" si="11"/>
        <v>4</v>
      </c>
      <c r="AB11" s="3">
        <f t="shared" si="11"/>
        <v>5</v>
      </c>
      <c r="AC11" s="3">
        <f t="shared" si="11"/>
        <v>6</v>
      </c>
      <c r="AD11" s="3">
        <f t="shared" si="11"/>
        <v>7</v>
      </c>
      <c r="AE11" s="3">
        <f t="shared" si="11"/>
        <v>8</v>
      </c>
      <c r="AF11" s="3">
        <f t="shared" si="11"/>
        <v>9</v>
      </c>
      <c r="AH11" s="11" t="s">
        <v>41</v>
      </c>
      <c r="AI11" s="19">
        <v>2</v>
      </c>
      <c r="AJ11" s="24">
        <v>3</v>
      </c>
      <c r="AK11" s="19">
        <v>4</v>
      </c>
      <c r="AL11" s="19">
        <v>5</v>
      </c>
      <c r="AM11" s="19">
        <v>6</v>
      </c>
      <c r="AN11" s="19">
        <v>7</v>
      </c>
      <c r="AO11" s="19">
        <v>8</v>
      </c>
      <c r="AP11" s="19">
        <v>7</v>
      </c>
      <c r="AQ11" s="19">
        <v>8</v>
      </c>
      <c r="AR11" s="19">
        <v>7</v>
      </c>
    </row>
    <row r="12" spans="2:44" ht="20.100000000000001" customHeight="1" x14ac:dyDescent="0.25">
      <c r="B12" s="21" t="s">
        <v>38</v>
      </c>
      <c r="C12" s="39" t="s">
        <v>48</v>
      </c>
      <c r="D12" s="39"/>
      <c r="E12" s="39"/>
      <c r="F12" s="39"/>
      <c r="I12" s="13">
        <v>1</v>
      </c>
      <c r="J12" s="5" t="s">
        <v>40</v>
      </c>
      <c r="K12" s="14" t="s">
        <v>53</v>
      </c>
      <c r="L12" s="15" t="str">
        <f>CONCATENATE("D (",$I12,",",L$15,")")</f>
        <v>D (1,1)</v>
      </c>
      <c r="M12" s="15" t="str">
        <f t="shared" si="1"/>
        <v>D (1,2)</v>
      </c>
      <c r="N12" s="15" t="str">
        <f t="shared" si="1"/>
        <v>D (1,3)</v>
      </c>
      <c r="O12" s="15" t="str">
        <f t="shared" si="1"/>
        <v>D (1,4)</v>
      </c>
      <c r="P12" s="15" t="str">
        <f t="shared" si="1"/>
        <v>D (1,5)</v>
      </c>
      <c r="Q12" s="15" t="str">
        <f t="shared" si="1"/>
        <v>D (1,6)</v>
      </c>
      <c r="R12" s="15" t="str">
        <f t="shared" si="1"/>
        <v>D (1,7)</v>
      </c>
      <c r="S12" s="15" t="str">
        <f t="shared" si="1"/>
        <v>D (1,8)</v>
      </c>
      <c r="T12" s="15" t="str">
        <f t="shared" si="1"/>
        <v>D (1,9)</v>
      </c>
      <c r="V12" s="37" t="s">
        <v>110</v>
      </c>
      <c r="W12" s="9">
        <f>I12</f>
        <v>1</v>
      </c>
      <c r="X12" s="3">
        <f t="shared" ref="X12:AF12" si="12">MIN(X13+1,W12+1,W13+IF($V12=X$14,0,2))</f>
        <v>0</v>
      </c>
      <c r="Y12" s="3">
        <f t="shared" si="12"/>
        <v>1</v>
      </c>
      <c r="Z12" s="3">
        <f t="shared" si="12"/>
        <v>2</v>
      </c>
      <c r="AA12" s="3">
        <f t="shared" si="12"/>
        <v>3</v>
      </c>
      <c r="AB12" s="3">
        <f t="shared" si="12"/>
        <v>4</v>
      </c>
      <c r="AC12" s="3">
        <f t="shared" si="12"/>
        <v>5</v>
      </c>
      <c r="AD12" s="3">
        <f t="shared" si="12"/>
        <v>6</v>
      </c>
      <c r="AE12" s="3">
        <f t="shared" si="12"/>
        <v>7</v>
      </c>
      <c r="AF12" s="3">
        <f t="shared" si="12"/>
        <v>8</v>
      </c>
      <c r="AH12" s="11" t="s">
        <v>40</v>
      </c>
      <c r="AI12" s="24">
        <v>1</v>
      </c>
      <c r="AJ12" s="19">
        <v>2</v>
      </c>
      <c r="AK12" s="19">
        <v>3</v>
      </c>
      <c r="AL12" s="19">
        <v>4</v>
      </c>
      <c r="AM12" s="19">
        <v>5</v>
      </c>
      <c r="AN12" s="19">
        <v>6</v>
      </c>
      <c r="AO12" s="19">
        <v>7</v>
      </c>
      <c r="AP12" s="19">
        <v>6</v>
      </c>
      <c r="AQ12" s="19">
        <v>7</v>
      </c>
      <c r="AR12" s="19">
        <v>8</v>
      </c>
    </row>
    <row r="13" spans="2:44" ht="20.100000000000001" customHeight="1" x14ac:dyDescent="0.25">
      <c r="B13" s="21"/>
      <c r="C13" s="39" t="s">
        <v>39</v>
      </c>
      <c r="D13" s="39"/>
      <c r="E13" s="39"/>
      <c r="F13" s="39"/>
      <c r="J13" s="5" t="s">
        <v>47</v>
      </c>
      <c r="K13" s="14">
        <v>0</v>
      </c>
      <c r="L13" s="14" t="s">
        <v>62</v>
      </c>
      <c r="M13" s="14" t="s">
        <v>63</v>
      </c>
      <c r="N13" s="14" t="s">
        <v>64</v>
      </c>
      <c r="O13" s="14" t="s">
        <v>65</v>
      </c>
      <c r="P13" s="14" t="s">
        <v>66</v>
      </c>
      <c r="Q13" s="14" t="s">
        <v>67</v>
      </c>
      <c r="R13" s="14" t="s">
        <v>68</v>
      </c>
      <c r="S13" s="14" t="s">
        <v>69</v>
      </c>
      <c r="T13" s="14" t="s">
        <v>70</v>
      </c>
      <c r="V13" s="37" t="s">
        <v>47</v>
      </c>
      <c r="W13" s="5">
        <v>0</v>
      </c>
      <c r="X13" s="9">
        <v>1</v>
      </c>
      <c r="Y13" s="9">
        <f>X13+1</f>
        <v>2</v>
      </c>
      <c r="Z13" s="9">
        <f t="shared" ref="Z13:AF13" si="13">Y13+1</f>
        <v>3</v>
      </c>
      <c r="AA13" s="9">
        <f t="shared" si="13"/>
        <v>4</v>
      </c>
      <c r="AB13" s="9">
        <f t="shared" si="13"/>
        <v>5</v>
      </c>
      <c r="AC13" s="9">
        <f t="shared" si="13"/>
        <v>6</v>
      </c>
      <c r="AD13" s="9">
        <f t="shared" si="13"/>
        <v>7</v>
      </c>
      <c r="AE13" s="9">
        <f t="shared" si="13"/>
        <v>8</v>
      </c>
      <c r="AF13" s="9">
        <f t="shared" si="13"/>
        <v>9</v>
      </c>
      <c r="AH13" s="11" t="s">
        <v>47</v>
      </c>
      <c r="AI13" s="19">
        <v>0</v>
      </c>
      <c r="AJ13" s="19">
        <v>1</v>
      </c>
      <c r="AK13" s="19">
        <v>2</v>
      </c>
      <c r="AL13" s="19">
        <v>3</v>
      </c>
      <c r="AM13" s="19">
        <v>4</v>
      </c>
      <c r="AN13" s="19">
        <v>5</v>
      </c>
      <c r="AO13" s="19">
        <v>6</v>
      </c>
      <c r="AP13" s="19">
        <v>7</v>
      </c>
      <c r="AQ13" s="19">
        <v>8</v>
      </c>
      <c r="AR13" s="19">
        <v>9</v>
      </c>
    </row>
    <row r="14" spans="2:44" ht="20.100000000000001" customHeight="1" x14ac:dyDescent="0.25">
      <c r="B14" s="21"/>
      <c r="C14" s="21"/>
      <c r="D14" s="21"/>
      <c r="E14" s="21"/>
      <c r="F14" s="21"/>
      <c r="J14" s="5"/>
      <c r="K14" s="5" t="s">
        <v>47</v>
      </c>
      <c r="L14" s="5" t="s">
        <v>43</v>
      </c>
      <c r="M14" s="5" t="s">
        <v>23</v>
      </c>
      <c r="N14" s="5" t="s">
        <v>43</v>
      </c>
      <c r="O14" s="5" t="s">
        <v>45</v>
      </c>
      <c r="P14" s="5" t="s">
        <v>46</v>
      </c>
      <c r="Q14" s="5" t="s">
        <v>42</v>
      </c>
      <c r="R14" s="5" t="s">
        <v>40</v>
      </c>
      <c r="S14" s="5" t="s">
        <v>44</v>
      </c>
      <c r="T14" s="5" t="s">
        <v>41</v>
      </c>
      <c r="V14" s="5"/>
      <c r="W14" s="37" t="s">
        <v>47</v>
      </c>
      <c r="X14" s="37" t="s">
        <v>110</v>
      </c>
      <c r="Y14" s="37" t="s">
        <v>105</v>
      </c>
      <c r="Z14" s="37" t="s">
        <v>112</v>
      </c>
      <c r="AA14" s="37" t="s">
        <v>104</v>
      </c>
      <c r="AB14" s="37"/>
      <c r="AC14" s="37"/>
      <c r="AD14" s="37"/>
      <c r="AE14" s="37"/>
      <c r="AF14" s="37"/>
      <c r="AH14" s="12"/>
      <c r="AI14" s="11" t="s">
        <v>47</v>
      </c>
      <c r="AJ14" s="11" t="s">
        <v>43</v>
      </c>
      <c r="AK14" s="11" t="s">
        <v>23</v>
      </c>
      <c r="AL14" s="11" t="s">
        <v>43</v>
      </c>
      <c r="AM14" s="11" t="s">
        <v>45</v>
      </c>
      <c r="AN14" s="11" t="s">
        <v>46</v>
      </c>
      <c r="AO14" s="11" t="s">
        <v>42</v>
      </c>
      <c r="AP14" s="11" t="s">
        <v>40</v>
      </c>
      <c r="AQ14" s="11" t="s">
        <v>44</v>
      </c>
      <c r="AR14" s="11" t="s">
        <v>41</v>
      </c>
    </row>
    <row r="15" spans="2:44" ht="15" customHeight="1" x14ac:dyDescent="0.25">
      <c r="B15" s="21"/>
      <c r="C15" s="21"/>
      <c r="D15" s="21"/>
      <c r="E15" s="21"/>
      <c r="F15" s="21"/>
      <c r="L15" s="13">
        <v>1</v>
      </c>
      <c r="M15" s="13">
        <f>L15+1</f>
        <v>2</v>
      </c>
      <c r="N15" s="13">
        <f t="shared" ref="N15:T15" si="14">M15+1</f>
        <v>3</v>
      </c>
      <c r="O15" s="13">
        <f t="shared" si="14"/>
        <v>4</v>
      </c>
      <c r="P15" s="13">
        <f t="shared" si="14"/>
        <v>5</v>
      </c>
      <c r="Q15" s="13">
        <f t="shared" si="14"/>
        <v>6</v>
      </c>
      <c r="R15" s="13">
        <f t="shared" si="14"/>
        <v>7</v>
      </c>
      <c r="S15" s="13">
        <f t="shared" si="14"/>
        <v>8</v>
      </c>
      <c r="T15" s="13">
        <f t="shared" si="14"/>
        <v>9</v>
      </c>
      <c r="X15" s="13">
        <v>1</v>
      </c>
      <c r="Y15" s="13">
        <f>X15+1</f>
        <v>2</v>
      </c>
      <c r="Z15" s="13">
        <f t="shared" ref="Z15:AF15" si="15">Y15+1</f>
        <v>3</v>
      </c>
      <c r="AA15" s="13">
        <f t="shared" si="15"/>
        <v>4</v>
      </c>
      <c r="AB15" s="13">
        <f t="shared" si="15"/>
        <v>5</v>
      </c>
      <c r="AC15" s="13">
        <f t="shared" si="15"/>
        <v>6</v>
      </c>
      <c r="AD15" s="13">
        <f t="shared" si="15"/>
        <v>7</v>
      </c>
      <c r="AE15" s="13">
        <f t="shared" si="15"/>
        <v>8</v>
      </c>
      <c r="AF15" s="13">
        <f t="shared" si="15"/>
        <v>9</v>
      </c>
    </row>
    <row r="16" spans="2:44" ht="15" customHeight="1" x14ac:dyDescent="0.25">
      <c r="B16" s="21"/>
      <c r="C16" s="21"/>
      <c r="D16" s="21"/>
      <c r="E16" s="21"/>
      <c r="F16" s="21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spans="14:32" ht="15" customHeight="1" x14ac:dyDescent="0.25">
      <c r="N17" s="17" t="s">
        <v>73</v>
      </c>
      <c r="O17" s="41" t="s">
        <v>49</v>
      </c>
      <c r="P17" s="41"/>
      <c r="Q17" s="41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spans="14:32" ht="15" customHeight="1" x14ac:dyDescent="0.25">
      <c r="N18" s="17" t="s">
        <v>29</v>
      </c>
      <c r="O18" s="42" t="s">
        <v>71</v>
      </c>
      <c r="P18" s="42"/>
      <c r="Q18" s="42"/>
      <c r="R18" s="1" t="s">
        <v>79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spans="14:32" ht="15" customHeight="1" x14ac:dyDescent="0.25">
      <c r="O19" s="16" t="s">
        <v>50</v>
      </c>
      <c r="P19" s="17" t="s">
        <v>74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</row>
    <row r="20" spans="14:32" ht="15" customHeight="1" x14ac:dyDescent="0.25">
      <c r="O20" s="16" t="s">
        <v>72</v>
      </c>
      <c r="P20" s="17" t="s">
        <v>75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4:32" ht="15" customHeight="1" x14ac:dyDescent="0.25">
      <c r="O21" s="16" t="s">
        <v>45</v>
      </c>
      <c r="P21" s="17" t="s">
        <v>76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4:32" ht="15" customHeight="1" x14ac:dyDescent="0.25">
      <c r="P22" s="16" t="s">
        <v>51</v>
      </c>
      <c r="Q22" s="17">
        <v>2</v>
      </c>
      <c r="R22" s="16" t="s">
        <v>77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4:32" ht="15" customHeight="1" x14ac:dyDescent="0.25">
      <c r="Q23" s="17">
        <v>0</v>
      </c>
      <c r="R23" s="16" t="s">
        <v>78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4:32" ht="15" customHeight="1" x14ac:dyDescent="0.25">
      <c r="N24" s="17" t="s">
        <v>79</v>
      </c>
      <c r="O24" s="42" t="s">
        <v>71</v>
      </c>
      <c r="P24" s="42"/>
      <c r="Q24" s="42"/>
      <c r="R24" s="18" t="s">
        <v>79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4:32" ht="15" customHeight="1" x14ac:dyDescent="0.25">
      <c r="O25" s="16" t="s">
        <v>50</v>
      </c>
      <c r="P25" s="17" t="s">
        <v>80</v>
      </c>
      <c r="R25" s="18" t="s">
        <v>86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4:32" ht="15" customHeight="1" x14ac:dyDescent="0.25">
      <c r="O26" s="16" t="s">
        <v>72</v>
      </c>
      <c r="P26" s="17" t="s">
        <v>81</v>
      </c>
      <c r="R26" s="18" t="s">
        <v>86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4:32" ht="15" customHeight="1" x14ac:dyDescent="0.25">
      <c r="O27" s="16" t="s">
        <v>45</v>
      </c>
      <c r="P27" s="17" t="s">
        <v>84</v>
      </c>
      <c r="Q27" s="16" t="s">
        <v>82</v>
      </c>
      <c r="R27" s="16" t="s">
        <v>83</v>
      </c>
      <c r="S27" s="18" t="s">
        <v>85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</row>
    <row r="28" spans="14:32" ht="15" customHeight="1" x14ac:dyDescent="0.25">
      <c r="P28" s="16" t="s">
        <v>51</v>
      </c>
      <c r="Q28" s="17">
        <v>2</v>
      </c>
      <c r="R28" s="16" t="s">
        <v>77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4:32" ht="15" customHeight="1" x14ac:dyDescent="0.25">
      <c r="Q29" s="17">
        <v>0</v>
      </c>
      <c r="R29" s="16" t="s">
        <v>78</v>
      </c>
      <c r="X29" s="13">
        <v>1</v>
      </c>
      <c r="Y29" s="13">
        <f>X29+1</f>
        <v>2</v>
      </c>
      <c r="Z29" s="13">
        <f t="shared" ref="Z29:AF29" si="16">Y29+1</f>
        <v>3</v>
      </c>
      <c r="AA29" s="13">
        <f t="shared" si="16"/>
        <v>4</v>
      </c>
      <c r="AB29" s="13">
        <f t="shared" si="16"/>
        <v>5</v>
      </c>
      <c r="AC29" s="13">
        <f t="shared" si="16"/>
        <v>6</v>
      </c>
      <c r="AD29" s="13">
        <f t="shared" si="16"/>
        <v>7</v>
      </c>
      <c r="AE29" s="13">
        <f t="shared" si="16"/>
        <v>8</v>
      </c>
      <c r="AF29" s="13">
        <f t="shared" si="16"/>
        <v>9</v>
      </c>
    </row>
  </sheetData>
  <mergeCells count="15">
    <mergeCell ref="O17:Q17"/>
    <mergeCell ref="O18:Q18"/>
    <mergeCell ref="O24:Q24"/>
    <mergeCell ref="C13:F13"/>
    <mergeCell ref="AH2:AR3"/>
    <mergeCell ref="V2:AF3"/>
    <mergeCell ref="J2:T3"/>
    <mergeCell ref="C8:F8"/>
    <mergeCell ref="C6:F6"/>
    <mergeCell ref="B7:B8"/>
    <mergeCell ref="C9:F9"/>
    <mergeCell ref="C10:F10"/>
    <mergeCell ref="B9:B10"/>
    <mergeCell ref="C12:F12"/>
    <mergeCell ref="C7:F7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9"/>
  <sheetViews>
    <sheetView tabSelected="1" workbookViewId="0">
      <selection sqref="A1:U2"/>
    </sheetView>
  </sheetViews>
  <sheetFormatPr defaultRowHeight="15" x14ac:dyDescent="0.25"/>
  <cols>
    <col min="1" max="1" width="9.140625" style="25"/>
    <col min="2" max="2" width="12.42578125" style="25" customWidth="1"/>
    <col min="3" max="3" width="9.140625" style="25"/>
    <col min="4" max="4" width="15.42578125" style="25" customWidth="1"/>
    <col min="5" max="5" width="7" style="25" customWidth="1"/>
    <col min="6" max="6" width="8.5703125" style="25" bestFit="1" customWidth="1"/>
    <col min="7" max="7" width="9.42578125" style="25" bestFit="1" customWidth="1"/>
    <col min="8" max="8" width="16.85546875" style="25" bestFit="1" customWidth="1"/>
    <col min="9" max="9" width="11.42578125" style="25" bestFit="1" customWidth="1"/>
    <col min="10" max="16384" width="9.140625" style="25"/>
  </cols>
  <sheetData>
    <row r="1" spans="1:21" ht="26.25" customHeight="1" x14ac:dyDescent="0.25">
      <c r="A1" s="48" t="s">
        <v>94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</row>
    <row r="2" spans="1:2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</row>
    <row r="3" spans="1:21" ht="14.25" customHeight="1" x14ac:dyDescent="0.25">
      <c r="A3" s="33"/>
      <c r="B3" s="33"/>
      <c r="C3" s="33"/>
      <c r="D3" s="33"/>
      <c r="E3" s="33"/>
      <c r="F3" s="35">
        <f>COUNTA(D:D)-1</f>
        <v>5</v>
      </c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1" ht="30" x14ac:dyDescent="0.25">
      <c r="A4" s="9" t="s">
        <v>95</v>
      </c>
      <c r="B4" s="9" t="s">
        <v>101</v>
      </c>
      <c r="C4" s="9" t="s">
        <v>95</v>
      </c>
      <c r="D4" s="9" t="s">
        <v>102</v>
      </c>
      <c r="E4" s="9" t="s">
        <v>96</v>
      </c>
      <c r="F4" s="32" t="s">
        <v>97</v>
      </c>
      <c r="H4" s="23" t="s">
        <v>99</v>
      </c>
      <c r="I4" s="23" t="str">
        <f>IF(COUNTIFS(F5:F9,MIN(F5:F9))&gt;1,"Tie",VLOOKUP(MIN(F5:F9),F4:G9,2,FALSE))</f>
        <v>Pure</v>
      </c>
      <c r="J4" s="36" t="str">
        <f>CONCATENATE("Final Recommendation is ","'",I4,"'")</f>
        <v>Final Recommendation is 'Pure'</v>
      </c>
    </row>
    <row r="5" spans="1:21" x14ac:dyDescent="0.25">
      <c r="A5" s="29" t="s">
        <v>88</v>
      </c>
      <c r="B5" s="30" t="s">
        <v>106</v>
      </c>
      <c r="C5" s="29" t="s">
        <v>89</v>
      </c>
      <c r="D5" s="30" t="s">
        <v>107</v>
      </c>
      <c r="E5" s="31">
        <f>LEN(D5)</f>
        <v>5</v>
      </c>
      <c r="F5" s="27">
        <v>8</v>
      </c>
      <c r="G5" s="36" t="str">
        <f>D5</f>
        <v>Share</v>
      </c>
    </row>
    <row r="6" spans="1:21" x14ac:dyDescent="0.25">
      <c r="C6" s="26" t="s">
        <v>90</v>
      </c>
      <c r="D6" s="27" t="s">
        <v>108</v>
      </c>
      <c r="E6" s="28">
        <f t="shared" ref="E6:E9" si="0">LEN(D6)</f>
        <v>9</v>
      </c>
      <c r="F6" s="27">
        <v>10</v>
      </c>
      <c r="G6" s="36" t="str">
        <f>D6</f>
        <v>Important</v>
      </c>
    </row>
    <row r="7" spans="1:21" x14ac:dyDescent="0.25">
      <c r="C7" s="26" t="s">
        <v>91</v>
      </c>
      <c r="D7" s="27" t="s">
        <v>109</v>
      </c>
      <c r="E7" s="28">
        <f t="shared" si="0"/>
        <v>6</v>
      </c>
      <c r="F7" s="27">
        <v>9</v>
      </c>
      <c r="G7" s="36" t="str">
        <f>D7</f>
        <v>Saving</v>
      </c>
    </row>
    <row r="8" spans="1:21" x14ac:dyDescent="0.25">
      <c r="C8" s="26" t="s">
        <v>92</v>
      </c>
      <c r="D8" s="27" t="s">
        <v>114</v>
      </c>
      <c r="E8" s="28">
        <f t="shared" si="0"/>
        <v>5</v>
      </c>
      <c r="F8" s="27">
        <v>10</v>
      </c>
      <c r="G8" s="36" t="str">
        <f>D8</f>
        <v>Omini</v>
      </c>
    </row>
    <row r="9" spans="1:21" x14ac:dyDescent="0.25">
      <c r="C9" s="26" t="s">
        <v>93</v>
      </c>
      <c r="D9" s="27" t="s">
        <v>113</v>
      </c>
      <c r="E9" s="28">
        <f t="shared" si="0"/>
        <v>4</v>
      </c>
      <c r="F9" s="27">
        <v>5</v>
      </c>
      <c r="G9" s="36" t="str">
        <f>D9</f>
        <v>Pure</v>
      </c>
    </row>
  </sheetData>
  <mergeCells count="1">
    <mergeCell ref="A1:U2"/>
  </mergeCells>
  <conditionalFormatting sqref="D5:D9">
    <cfRule type="cellIs" dxfId="0" priority="1" operator="equal">
      <formula>$I$4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171450</xdr:colOff>
                <xdr:row>6</xdr:row>
                <xdr:rowOff>28575</xdr:rowOff>
              </from>
              <to>
                <xdr:col>1</xdr:col>
                <xdr:colOff>619125</xdr:colOff>
                <xdr:row>7</xdr:row>
                <xdr:rowOff>161925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MED</vt:lpstr>
      <vt:lpstr>Text Recommendations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2015-06-05T18:17:20Z</dcterms:created>
  <dcterms:modified xsi:type="dcterms:W3CDTF">2020-01-04T06:06:35Z</dcterms:modified>
</cp:coreProperties>
</file>