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1. Start_Up\LinkedIn\"/>
    </mc:Choice>
  </mc:AlternateContent>
  <xr:revisionPtr revIDLastSave="0" documentId="13_ncr:1_{865185CF-0D1B-4EE7-8206-45472A9FEE34}" xr6:coauthVersionLast="45" xr6:coauthVersionMax="45" xr10:uidLastSave="{00000000-0000-0000-0000-000000000000}"/>
  <bookViews>
    <workbookView xWindow="-120" yWindow="-120" windowWidth="20730" windowHeight="11160" activeTab="3" xr2:uid="{82320482-1F95-4501-9A82-2FC6D85B216F}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_xlnm._FilterDatabase" localSheetId="0" hidden="1">Sheet1!$A$1:$G$1523</definedName>
    <definedName name="_xlnm._FilterDatabase" localSheetId="1" hidden="1">Sheet2!$A$1:$B$1523</definedName>
    <definedName name="_xlchart.v1.0" hidden="1">Sheet3!$AD$2:$AD$118</definedName>
    <definedName name="_xlchart.v1.1" hidden="1">Sheet3!$AR$2:$AR$118</definedName>
    <definedName name="_xlchart.v1.2" hidden="1">Sheet3!$D$1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R118" i="3" l="1"/>
  <c r="AR117" i="3"/>
  <c r="AR116" i="3"/>
  <c r="AR115" i="3"/>
  <c r="AR114" i="3"/>
  <c r="AR113" i="3"/>
  <c r="AR112" i="3"/>
  <c r="AR111" i="3"/>
  <c r="AR110" i="3"/>
  <c r="AR109" i="3"/>
  <c r="AR108" i="3"/>
  <c r="AR107" i="3"/>
  <c r="AR106" i="3"/>
  <c r="AR105" i="3"/>
  <c r="AR104" i="3"/>
  <c r="AR103" i="3"/>
  <c r="AR102" i="3"/>
  <c r="AR101" i="3"/>
  <c r="AR100" i="3"/>
  <c r="AR99" i="3"/>
  <c r="AR98" i="3"/>
  <c r="AR97" i="3"/>
  <c r="AR96" i="3"/>
  <c r="AR95" i="3"/>
  <c r="AR94" i="3"/>
  <c r="AR93" i="3"/>
  <c r="AR92" i="3"/>
  <c r="AR91" i="3"/>
  <c r="AR90" i="3"/>
  <c r="AR89" i="3"/>
  <c r="AR88" i="3"/>
  <c r="AR87" i="3"/>
  <c r="AR86" i="3"/>
  <c r="AR85" i="3"/>
  <c r="AR84" i="3"/>
  <c r="AR83" i="3"/>
  <c r="AR82" i="3"/>
  <c r="AR81" i="3"/>
  <c r="AR80" i="3"/>
  <c r="AR79" i="3"/>
  <c r="AR78" i="3"/>
  <c r="AR77" i="3"/>
  <c r="AR76" i="3"/>
  <c r="AR75" i="3"/>
  <c r="AR74" i="3"/>
  <c r="AR73" i="3"/>
  <c r="AR72" i="3"/>
  <c r="AR71" i="3"/>
  <c r="AR70" i="3"/>
  <c r="AR69" i="3"/>
  <c r="AR68" i="3"/>
  <c r="AR67" i="3"/>
  <c r="AR66" i="3"/>
  <c r="AR65" i="3"/>
  <c r="AR64" i="3"/>
  <c r="AR63" i="3"/>
  <c r="AR62" i="3"/>
  <c r="AR61" i="3"/>
  <c r="AR60" i="3"/>
  <c r="AR59" i="3"/>
  <c r="AR58" i="3"/>
  <c r="AR57" i="3"/>
  <c r="AR56" i="3"/>
  <c r="AR55" i="3"/>
  <c r="AR54" i="3"/>
  <c r="AR53" i="3"/>
  <c r="AR52" i="3"/>
  <c r="AR51" i="3"/>
  <c r="AR50" i="3"/>
  <c r="AR49" i="3"/>
  <c r="AR48" i="3"/>
  <c r="AR47" i="3"/>
  <c r="AR46" i="3"/>
  <c r="AR45" i="3"/>
  <c r="AR44" i="3"/>
  <c r="AR43" i="3"/>
  <c r="AR42" i="3"/>
  <c r="AR41" i="3"/>
  <c r="AR40" i="3"/>
  <c r="AR39" i="3"/>
  <c r="AR38" i="3"/>
  <c r="AR37" i="3"/>
  <c r="AR36" i="3"/>
  <c r="AR35" i="3"/>
  <c r="AR34" i="3"/>
  <c r="AR33" i="3"/>
  <c r="AR32" i="3"/>
  <c r="AR31" i="3"/>
  <c r="AR30" i="3"/>
  <c r="AR29" i="3"/>
  <c r="AR28" i="3"/>
  <c r="AR27" i="3"/>
  <c r="AR26" i="3"/>
  <c r="AR25" i="3"/>
  <c r="AR24" i="3"/>
  <c r="AR23" i="3"/>
  <c r="AR22" i="3"/>
  <c r="AR21" i="3"/>
  <c r="AR20" i="3"/>
  <c r="AR19" i="3"/>
  <c r="AR18" i="3"/>
  <c r="AR17" i="3"/>
  <c r="AR16" i="3"/>
  <c r="AR15" i="3"/>
  <c r="AR14" i="3"/>
  <c r="AR13" i="3"/>
  <c r="AR12" i="3"/>
  <c r="AR11" i="3"/>
  <c r="AR10" i="3"/>
  <c r="AR9" i="3"/>
  <c r="AR8" i="3"/>
  <c r="AR7" i="3"/>
  <c r="AR6" i="3"/>
  <c r="AR5" i="3"/>
  <c r="AR4" i="3"/>
  <c r="AR3" i="3"/>
  <c r="AR2" i="3"/>
  <c r="AF7" i="3"/>
  <c r="AF5" i="3"/>
  <c r="AQ1" i="3"/>
  <c r="AO3" i="3"/>
  <c r="AO4" i="3"/>
  <c r="AO5" i="3"/>
  <c r="AO6" i="3"/>
  <c r="AO7" i="3"/>
  <c r="AO8" i="3"/>
  <c r="AO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AO101" i="3"/>
  <c r="AO102" i="3"/>
  <c r="AO103" i="3"/>
  <c r="AO104" i="3"/>
  <c r="AO105" i="3"/>
  <c r="AO106" i="3"/>
  <c r="AO107" i="3"/>
  <c r="AO108" i="3"/>
  <c r="AO109" i="3"/>
  <c r="AO110" i="3"/>
  <c r="AO111" i="3"/>
  <c r="AO112" i="3"/>
  <c r="AO113" i="3"/>
  <c r="AO114" i="3"/>
  <c r="AO115" i="3"/>
  <c r="AO116" i="3"/>
  <c r="AO117" i="3"/>
  <c r="AO118" i="3"/>
  <c r="AO2" i="3"/>
  <c r="AN3" i="3"/>
  <c r="AN4" i="3"/>
  <c r="AN5" i="3"/>
  <c r="AN6" i="3"/>
  <c r="AN7" i="3"/>
  <c r="AN8" i="3"/>
  <c r="AN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AN101" i="3"/>
  <c r="AN102" i="3"/>
  <c r="AN103" i="3"/>
  <c r="AN104" i="3"/>
  <c r="AN105" i="3"/>
  <c r="AN106" i="3"/>
  <c r="AN107" i="3"/>
  <c r="AN108" i="3"/>
  <c r="AN109" i="3"/>
  <c r="AN110" i="3"/>
  <c r="AN111" i="3"/>
  <c r="AN112" i="3"/>
  <c r="AN113" i="3"/>
  <c r="AN114" i="3"/>
  <c r="AN115" i="3"/>
  <c r="AN116" i="3"/>
  <c r="AN117" i="3"/>
  <c r="AN118" i="3"/>
  <c r="AN2" i="3"/>
  <c r="AM1" i="3"/>
  <c r="AK3" i="3"/>
  <c r="AK4" i="3"/>
  <c r="AK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2" i="3"/>
  <c r="AJ3" i="3"/>
  <c r="AJ4" i="3"/>
  <c r="AJ5" i="3"/>
  <c r="AJ6" i="3"/>
  <c r="AJ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J56" i="3"/>
  <c r="AJ57" i="3"/>
  <c r="AJ58" i="3"/>
  <c r="AJ59" i="3"/>
  <c r="AJ60" i="3"/>
  <c r="AJ61" i="3"/>
  <c r="AJ62" i="3"/>
  <c r="AJ63" i="3"/>
  <c r="AJ64" i="3"/>
  <c r="AJ65" i="3"/>
  <c r="AJ66" i="3"/>
  <c r="AJ67" i="3"/>
  <c r="AJ68" i="3"/>
  <c r="AJ69" i="3"/>
  <c r="AJ70" i="3"/>
  <c r="AJ71" i="3"/>
  <c r="AJ72" i="3"/>
  <c r="AJ73" i="3"/>
  <c r="AJ74" i="3"/>
  <c r="AJ75" i="3"/>
  <c r="AJ76" i="3"/>
  <c r="AJ77" i="3"/>
  <c r="AJ78" i="3"/>
  <c r="AJ79" i="3"/>
  <c r="AJ80" i="3"/>
  <c r="AJ81" i="3"/>
  <c r="AJ82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09" i="3"/>
  <c r="AJ110" i="3"/>
  <c r="AJ111" i="3"/>
  <c r="AJ112" i="3"/>
  <c r="AJ113" i="3"/>
  <c r="AJ114" i="3"/>
  <c r="AJ115" i="3"/>
  <c r="AJ116" i="3"/>
  <c r="AJ117" i="3"/>
  <c r="AJ118" i="3"/>
  <c r="AJ2" i="3"/>
  <c r="AI3" i="3"/>
  <c r="AI4" i="3"/>
  <c r="AI5" i="3"/>
  <c r="AI6" i="3"/>
  <c r="AI7" i="3"/>
  <c r="AI8" i="3"/>
  <c r="AI9" i="3"/>
  <c r="AI10" i="3"/>
  <c r="AI11" i="3"/>
  <c r="AI12" i="3"/>
  <c r="AI13" i="3"/>
  <c r="AI2" i="3"/>
  <c r="AG3" i="3"/>
  <c r="C3" i="3"/>
  <c r="C2" i="3"/>
  <c r="D3" i="3"/>
  <c r="D2" i="3"/>
  <c r="B16" i="3"/>
  <c r="B28" i="3" s="1"/>
  <c r="B40" i="3" s="1"/>
  <c r="B52" i="3" s="1"/>
  <c r="B64" i="3" s="1"/>
  <c r="B76" i="3" s="1"/>
  <c r="B88" i="3" s="1"/>
  <c r="B100" i="3" s="1"/>
  <c r="B27" i="3"/>
  <c r="B39" i="3" s="1"/>
  <c r="B51" i="3" s="1"/>
  <c r="B63" i="3" s="1"/>
  <c r="B75" i="3" s="1"/>
  <c r="B87" i="3" s="1"/>
  <c r="B99" i="3" s="1"/>
  <c r="B111" i="3" s="1"/>
  <c r="B15" i="3"/>
  <c r="A15" i="3"/>
  <c r="D15" i="3" s="1"/>
  <c r="A4" i="3"/>
  <c r="D4" i="3" s="1"/>
  <c r="B4" i="3"/>
  <c r="B5" i="3" s="1"/>
  <c r="F3" i="1"/>
  <c r="G3" i="1"/>
  <c r="F4" i="1"/>
  <c r="G4" i="1"/>
  <c r="F5" i="1"/>
  <c r="G5" i="1"/>
  <c r="F6" i="1"/>
  <c r="G6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F51" i="1"/>
  <c r="G51" i="1"/>
  <c r="F52" i="1"/>
  <c r="G52" i="1"/>
  <c r="F53" i="1"/>
  <c r="G53" i="1"/>
  <c r="F54" i="1"/>
  <c r="G54" i="1"/>
  <c r="F55" i="1"/>
  <c r="G55" i="1"/>
  <c r="F56" i="1"/>
  <c r="G56" i="1"/>
  <c r="F57" i="1"/>
  <c r="G57" i="1"/>
  <c r="F58" i="1"/>
  <c r="G58" i="1"/>
  <c r="F59" i="1"/>
  <c r="G59" i="1"/>
  <c r="F60" i="1"/>
  <c r="G60" i="1"/>
  <c r="F61" i="1"/>
  <c r="G61" i="1"/>
  <c r="F62" i="1"/>
  <c r="G62" i="1"/>
  <c r="F63" i="1"/>
  <c r="G63" i="1"/>
  <c r="F64" i="1"/>
  <c r="G64" i="1"/>
  <c r="F65" i="1"/>
  <c r="G65" i="1"/>
  <c r="F66" i="1"/>
  <c r="G66" i="1"/>
  <c r="F67" i="1"/>
  <c r="G67" i="1"/>
  <c r="F68" i="1"/>
  <c r="G68" i="1"/>
  <c r="F69" i="1"/>
  <c r="G69" i="1"/>
  <c r="F70" i="1"/>
  <c r="G70" i="1"/>
  <c r="F71" i="1"/>
  <c r="G71" i="1"/>
  <c r="F72" i="1"/>
  <c r="G72" i="1"/>
  <c r="F73" i="1"/>
  <c r="G73" i="1"/>
  <c r="F74" i="1"/>
  <c r="G74" i="1"/>
  <c r="F75" i="1"/>
  <c r="G75" i="1"/>
  <c r="F76" i="1"/>
  <c r="G76" i="1"/>
  <c r="F77" i="1"/>
  <c r="G77" i="1"/>
  <c r="F78" i="1"/>
  <c r="G78" i="1"/>
  <c r="F79" i="1"/>
  <c r="G79" i="1"/>
  <c r="F80" i="1"/>
  <c r="G80" i="1"/>
  <c r="F81" i="1"/>
  <c r="G81" i="1"/>
  <c r="F82" i="1"/>
  <c r="G82" i="1"/>
  <c r="F83" i="1"/>
  <c r="G83" i="1"/>
  <c r="F84" i="1"/>
  <c r="G84" i="1"/>
  <c r="F85" i="1"/>
  <c r="G85" i="1"/>
  <c r="F86" i="1"/>
  <c r="G86" i="1"/>
  <c r="F87" i="1"/>
  <c r="G87" i="1"/>
  <c r="F88" i="1"/>
  <c r="G88" i="1"/>
  <c r="F89" i="1"/>
  <c r="G89" i="1"/>
  <c r="F90" i="1"/>
  <c r="G90" i="1"/>
  <c r="F91" i="1"/>
  <c r="G91" i="1"/>
  <c r="F92" i="1"/>
  <c r="G92" i="1"/>
  <c r="F93" i="1"/>
  <c r="G93" i="1"/>
  <c r="F94" i="1"/>
  <c r="G94" i="1"/>
  <c r="F95" i="1"/>
  <c r="G95" i="1"/>
  <c r="F96" i="1"/>
  <c r="G96" i="1"/>
  <c r="F97" i="1"/>
  <c r="G97" i="1"/>
  <c r="F98" i="1"/>
  <c r="G98" i="1"/>
  <c r="F99" i="1"/>
  <c r="G99" i="1"/>
  <c r="F100" i="1"/>
  <c r="G100" i="1"/>
  <c r="F101" i="1"/>
  <c r="G101" i="1"/>
  <c r="F102" i="1"/>
  <c r="G102" i="1"/>
  <c r="F103" i="1"/>
  <c r="G103" i="1"/>
  <c r="F104" i="1"/>
  <c r="G104" i="1"/>
  <c r="F105" i="1"/>
  <c r="G105" i="1"/>
  <c r="F106" i="1"/>
  <c r="G106" i="1"/>
  <c r="F107" i="1"/>
  <c r="G107" i="1"/>
  <c r="F108" i="1"/>
  <c r="G108" i="1"/>
  <c r="F109" i="1"/>
  <c r="G109" i="1"/>
  <c r="F110" i="1"/>
  <c r="G110" i="1"/>
  <c r="F111" i="1"/>
  <c r="G111" i="1"/>
  <c r="F112" i="1"/>
  <c r="G112" i="1"/>
  <c r="F113" i="1"/>
  <c r="G113" i="1"/>
  <c r="F114" i="1"/>
  <c r="G114" i="1"/>
  <c r="F115" i="1"/>
  <c r="G115" i="1"/>
  <c r="F116" i="1"/>
  <c r="G116" i="1"/>
  <c r="F117" i="1"/>
  <c r="G117" i="1"/>
  <c r="F118" i="1"/>
  <c r="G118" i="1"/>
  <c r="F119" i="1"/>
  <c r="G119" i="1"/>
  <c r="F120" i="1"/>
  <c r="G120" i="1"/>
  <c r="F121" i="1"/>
  <c r="G121" i="1"/>
  <c r="F122" i="1"/>
  <c r="G122" i="1"/>
  <c r="F123" i="1"/>
  <c r="G123" i="1"/>
  <c r="F124" i="1"/>
  <c r="G124" i="1"/>
  <c r="F125" i="1"/>
  <c r="G125" i="1"/>
  <c r="F126" i="1"/>
  <c r="G126" i="1"/>
  <c r="F127" i="1"/>
  <c r="G127" i="1"/>
  <c r="F128" i="1"/>
  <c r="G128" i="1"/>
  <c r="F129" i="1"/>
  <c r="G129" i="1"/>
  <c r="F130" i="1"/>
  <c r="G130" i="1"/>
  <c r="F131" i="1"/>
  <c r="G131" i="1"/>
  <c r="F132" i="1"/>
  <c r="G132" i="1"/>
  <c r="F133" i="1"/>
  <c r="G133" i="1"/>
  <c r="F134" i="1"/>
  <c r="G134" i="1"/>
  <c r="F135" i="1"/>
  <c r="G135" i="1"/>
  <c r="F136" i="1"/>
  <c r="G136" i="1"/>
  <c r="F137" i="1"/>
  <c r="G137" i="1"/>
  <c r="F138" i="1"/>
  <c r="G138" i="1"/>
  <c r="F139" i="1"/>
  <c r="G139" i="1"/>
  <c r="F140" i="1"/>
  <c r="G140" i="1"/>
  <c r="F141" i="1"/>
  <c r="G141" i="1"/>
  <c r="F142" i="1"/>
  <c r="G142" i="1"/>
  <c r="F143" i="1"/>
  <c r="G143" i="1"/>
  <c r="F144" i="1"/>
  <c r="G144" i="1"/>
  <c r="F145" i="1"/>
  <c r="G145" i="1"/>
  <c r="F146" i="1"/>
  <c r="G146" i="1"/>
  <c r="F147" i="1"/>
  <c r="G147" i="1"/>
  <c r="F148" i="1"/>
  <c r="G148" i="1"/>
  <c r="F149" i="1"/>
  <c r="G149" i="1"/>
  <c r="F150" i="1"/>
  <c r="G150" i="1"/>
  <c r="F151" i="1"/>
  <c r="G151" i="1"/>
  <c r="F152" i="1"/>
  <c r="G152" i="1"/>
  <c r="F153" i="1"/>
  <c r="G153" i="1"/>
  <c r="F154" i="1"/>
  <c r="G154" i="1"/>
  <c r="F155" i="1"/>
  <c r="G155" i="1"/>
  <c r="F156" i="1"/>
  <c r="G156" i="1"/>
  <c r="F157" i="1"/>
  <c r="G157" i="1"/>
  <c r="F158" i="1"/>
  <c r="G158" i="1"/>
  <c r="F159" i="1"/>
  <c r="G159" i="1"/>
  <c r="F160" i="1"/>
  <c r="G160" i="1"/>
  <c r="F161" i="1"/>
  <c r="G161" i="1"/>
  <c r="F162" i="1"/>
  <c r="G162" i="1"/>
  <c r="F163" i="1"/>
  <c r="G163" i="1"/>
  <c r="F164" i="1"/>
  <c r="G164" i="1"/>
  <c r="F165" i="1"/>
  <c r="G165" i="1"/>
  <c r="F166" i="1"/>
  <c r="G166" i="1"/>
  <c r="F167" i="1"/>
  <c r="G167" i="1"/>
  <c r="F168" i="1"/>
  <c r="G168" i="1"/>
  <c r="F169" i="1"/>
  <c r="G169" i="1"/>
  <c r="F170" i="1"/>
  <c r="G170" i="1"/>
  <c r="F171" i="1"/>
  <c r="G171" i="1"/>
  <c r="F172" i="1"/>
  <c r="G172" i="1"/>
  <c r="F173" i="1"/>
  <c r="G173" i="1"/>
  <c r="F174" i="1"/>
  <c r="G174" i="1"/>
  <c r="F175" i="1"/>
  <c r="G175" i="1"/>
  <c r="F176" i="1"/>
  <c r="G176" i="1"/>
  <c r="F177" i="1"/>
  <c r="G177" i="1"/>
  <c r="F178" i="1"/>
  <c r="G178" i="1"/>
  <c r="F179" i="1"/>
  <c r="G179" i="1"/>
  <c r="F180" i="1"/>
  <c r="G180" i="1"/>
  <c r="F181" i="1"/>
  <c r="G181" i="1"/>
  <c r="F182" i="1"/>
  <c r="G182" i="1"/>
  <c r="F183" i="1"/>
  <c r="G183" i="1"/>
  <c r="F184" i="1"/>
  <c r="G184" i="1"/>
  <c r="F185" i="1"/>
  <c r="G185" i="1"/>
  <c r="F186" i="1"/>
  <c r="G186" i="1"/>
  <c r="F187" i="1"/>
  <c r="G187" i="1"/>
  <c r="F188" i="1"/>
  <c r="G188" i="1"/>
  <c r="F189" i="1"/>
  <c r="G189" i="1"/>
  <c r="F190" i="1"/>
  <c r="G190" i="1"/>
  <c r="F191" i="1"/>
  <c r="G191" i="1"/>
  <c r="F192" i="1"/>
  <c r="G192" i="1"/>
  <c r="F193" i="1"/>
  <c r="G193" i="1"/>
  <c r="F194" i="1"/>
  <c r="G194" i="1"/>
  <c r="F195" i="1"/>
  <c r="G195" i="1"/>
  <c r="F196" i="1"/>
  <c r="G196" i="1"/>
  <c r="F197" i="1"/>
  <c r="G197" i="1"/>
  <c r="F198" i="1"/>
  <c r="G198" i="1"/>
  <c r="F199" i="1"/>
  <c r="G199" i="1"/>
  <c r="F200" i="1"/>
  <c r="G200" i="1"/>
  <c r="F201" i="1"/>
  <c r="G201" i="1"/>
  <c r="F202" i="1"/>
  <c r="G202" i="1"/>
  <c r="F203" i="1"/>
  <c r="G203" i="1"/>
  <c r="F204" i="1"/>
  <c r="G204" i="1"/>
  <c r="F205" i="1"/>
  <c r="G205" i="1"/>
  <c r="F206" i="1"/>
  <c r="G206" i="1"/>
  <c r="F207" i="1"/>
  <c r="G207" i="1"/>
  <c r="F208" i="1"/>
  <c r="G208" i="1"/>
  <c r="F209" i="1"/>
  <c r="G209" i="1"/>
  <c r="F210" i="1"/>
  <c r="G210" i="1"/>
  <c r="F211" i="1"/>
  <c r="G211" i="1"/>
  <c r="F212" i="1"/>
  <c r="G212" i="1"/>
  <c r="F213" i="1"/>
  <c r="G213" i="1"/>
  <c r="F214" i="1"/>
  <c r="G214" i="1"/>
  <c r="F215" i="1"/>
  <c r="G215" i="1"/>
  <c r="F216" i="1"/>
  <c r="G216" i="1"/>
  <c r="F217" i="1"/>
  <c r="G217" i="1"/>
  <c r="F218" i="1"/>
  <c r="G218" i="1"/>
  <c r="F219" i="1"/>
  <c r="G219" i="1"/>
  <c r="F220" i="1"/>
  <c r="G220" i="1"/>
  <c r="F221" i="1"/>
  <c r="G221" i="1"/>
  <c r="F222" i="1"/>
  <c r="G222" i="1"/>
  <c r="F223" i="1"/>
  <c r="G223" i="1"/>
  <c r="F224" i="1"/>
  <c r="G224" i="1"/>
  <c r="F225" i="1"/>
  <c r="G225" i="1"/>
  <c r="F226" i="1"/>
  <c r="G226" i="1"/>
  <c r="F227" i="1"/>
  <c r="G227" i="1"/>
  <c r="F228" i="1"/>
  <c r="G228" i="1"/>
  <c r="F229" i="1"/>
  <c r="G229" i="1"/>
  <c r="F230" i="1"/>
  <c r="G230" i="1"/>
  <c r="F231" i="1"/>
  <c r="G231" i="1"/>
  <c r="F232" i="1"/>
  <c r="G232" i="1"/>
  <c r="F233" i="1"/>
  <c r="G233" i="1"/>
  <c r="F234" i="1"/>
  <c r="G234" i="1"/>
  <c r="F235" i="1"/>
  <c r="G235" i="1"/>
  <c r="F236" i="1"/>
  <c r="G236" i="1"/>
  <c r="F237" i="1"/>
  <c r="G237" i="1"/>
  <c r="F238" i="1"/>
  <c r="G238" i="1"/>
  <c r="F239" i="1"/>
  <c r="G239" i="1"/>
  <c r="F240" i="1"/>
  <c r="G240" i="1"/>
  <c r="F241" i="1"/>
  <c r="G241" i="1"/>
  <c r="F242" i="1"/>
  <c r="G242" i="1"/>
  <c r="F243" i="1"/>
  <c r="G243" i="1"/>
  <c r="F244" i="1"/>
  <c r="G244" i="1"/>
  <c r="F245" i="1"/>
  <c r="G245" i="1"/>
  <c r="F246" i="1"/>
  <c r="G246" i="1"/>
  <c r="F247" i="1"/>
  <c r="G247" i="1"/>
  <c r="F248" i="1"/>
  <c r="G248" i="1"/>
  <c r="F249" i="1"/>
  <c r="G249" i="1"/>
  <c r="F250" i="1"/>
  <c r="G250" i="1"/>
  <c r="F251" i="1"/>
  <c r="G251" i="1"/>
  <c r="F252" i="1"/>
  <c r="G252" i="1"/>
  <c r="F253" i="1"/>
  <c r="G253" i="1"/>
  <c r="F254" i="1"/>
  <c r="G254" i="1"/>
  <c r="F255" i="1"/>
  <c r="G255" i="1"/>
  <c r="F256" i="1"/>
  <c r="G256" i="1"/>
  <c r="F257" i="1"/>
  <c r="G257" i="1"/>
  <c r="F258" i="1"/>
  <c r="G258" i="1"/>
  <c r="F259" i="1"/>
  <c r="G259" i="1"/>
  <c r="F260" i="1"/>
  <c r="G260" i="1"/>
  <c r="F261" i="1"/>
  <c r="G261" i="1"/>
  <c r="F262" i="1"/>
  <c r="G262" i="1"/>
  <c r="F263" i="1"/>
  <c r="G263" i="1"/>
  <c r="F264" i="1"/>
  <c r="G264" i="1"/>
  <c r="F265" i="1"/>
  <c r="G265" i="1"/>
  <c r="F266" i="1"/>
  <c r="G266" i="1"/>
  <c r="F267" i="1"/>
  <c r="G267" i="1"/>
  <c r="F268" i="1"/>
  <c r="G268" i="1"/>
  <c r="F269" i="1"/>
  <c r="G269" i="1"/>
  <c r="F270" i="1"/>
  <c r="G270" i="1"/>
  <c r="F271" i="1"/>
  <c r="G271" i="1"/>
  <c r="F272" i="1"/>
  <c r="G272" i="1"/>
  <c r="F273" i="1"/>
  <c r="G273" i="1"/>
  <c r="F274" i="1"/>
  <c r="G274" i="1"/>
  <c r="F275" i="1"/>
  <c r="G275" i="1"/>
  <c r="F276" i="1"/>
  <c r="G276" i="1"/>
  <c r="F277" i="1"/>
  <c r="G277" i="1"/>
  <c r="F278" i="1"/>
  <c r="G278" i="1"/>
  <c r="F279" i="1"/>
  <c r="G279" i="1"/>
  <c r="F280" i="1"/>
  <c r="G280" i="1"/>
  <c r="F281" i="1"/>
  <c r="G281" i="1"/>
  <c r="F282" i="1"/>
  <c r="G282" i="1"/>
  <c r="F283" i="1"/>
  <c r="G283" i="1"/>
  <c r="F284" i="1"/>
  <c r="G284" i="1"/>
  <c r="F285" i="1"/>
  <c r="G285" i="1"/>
  <c r="F286" i="1"/>
  <c r="G286" i="1"/>
  <c r="F287" i="1"/>
  <c r="G287" i="1"/>
  <c r="F288" i="1"/>
  <c r="G288" i="1"/>
  <c r="F289" i="1"/>
  <c r="G289" i="1"/>
  <c r="F290" i="1"/>
  <c r="G290" i="1"/>
  <c r="F291" i="1"/>
  <c r="G291" i="1"/>
  <c r="F292" i="1"/>
  <c r="G292" i="1"/>
  <c r="F293" i="1"/>
  <c r="G293" i="1"/>
  <c r="F294" i="1"/>
  <c r="G294" i="1"/>
  <c r="F295" i="1"/>
  <c r="G295" i="1"/>
  <c r="F296" i="1"/>
  <c r="G296" i="1"/>
  <c r="F297" i="1"/>
  <c r="G297" i="1"/>
  <c r="F298" i="1"/>
  <c r="G298" i="1"/>
  <c r="F299" i="1"/>
  <c r="G299" i="1"/>
  <c r="F300" i="1"/>
  <c r="G300" i="1"/>
  <c r="F301" i="1"/>
  <c r="G301" i="1"/>
  <c r="F302" i="1"/>
  <c r="G302" i="1"/>
  <c r="F303" i="1"/>
  <c r="G303" i="1"/>
  <c r="F304" i="1"/>
  <c r="G304" i="1"/>
  <c r="F305" i="1"/>
  <c r="G305" i="1"/>
  <c r="F306" i="1"/>
  <c r="G306" i="1"/>
  <c r="F307" i="1"/>
  <c r="G307" i="1"/>
  <c r="F308" i="1"/>
  <c r="G308" i="1"/>
  <c r="F309" i="1"/>
  <c r="G309" i="1"/>
  <c r="F310" i="1"/>
  <c r="G310" i="1"/>
  <c r="F311" i="1"/>
  <c r="G311" i="1"/>
  <c r="F312" i="1"/>
  <c r="G312" i="1"/>
  <c r="F313" i="1"/>
  <c r="G313" i="1"/>
  <c r="F314" i="1"/>
  <c r="G314" i="1"/>
  <c r="F315" i="1"/>
  <c r="G315" i="1"/>
  <c r="F316" i="1"/>
  <c r="G316" i="1"/>
  <c r="F317" i="1"/>
  <c r="G317" i="1"/>
  <c r="F318" i="1"/>
  <c r="G318" i="1"/>
  <c r="F319" i="1"/>
  <c r="G319" i="1"/>
  <c r="F320" i="1"/>
  <c r="G320" i="1"/>
  <c r="F321" i="1"/>
  <c r="G321" i="1"/>
  <c r="F322" i="1"/>
  <c r="G322" i="1"/>
  <c r="F323" i="1"/>
  <c r="G323" i="1"/>
  <c r="F324" i="1"/>
  <c r="G324" i="1"/>
  <c r="F325" i="1"/>
  <c r="G325" i="1"/>
  <c r="F326" i="1"/>
  <c r="G326" i="1"/>
  <c r="F327" i="1"/>
  <c r="G327" i="1"/>
  <c r="F328" i="1"/>
  <c r="G328" i="1"/>
  <c r="F329" i="1"/>
  <c r="G329" i="1"/>
  <c r="F330" i="1"/>
  <c r="G330" i="1"/>
  <c r="F331" i="1"/>
  <c r="G331" i="1"/>
  <c r="F332" i="1"/>
  <c r="G332" i="1"/>
  <c r="F333" i="1"/>
  <c r="G333" i="1"/>
  <c r="F334" i="1"/>
  <c r="G334" i="1"/>
  <c r="F335" i="1"/>
  <c r="G335" i="1"/>
  <c r="F336" i="1"/>
  <c r="G336" i="1"/>
  <c r="F337" i="1"/>
  <c r="G337" i="1"/>
  <c r="F338" i="1"/>
  <c r="G338" i="1"/>
  <c r="F339" i="1"/>
  <c r="G339" i="1"/>
  <c r="F340" i="1"/>
  <c r="G340" i="1"/>
  <c r="F341" i="1"/>
  <c r="G341" i="1"/>
  <c r="F342" i="1"/>
  <c r="G342" i="1"/>
  <c r="F343" i="1"/>
  <c r="G343" i="1"/>
  <c r="F344" i="1"/>
  <c r="G344" i="1"/>
  <c r="F345" i="1"/>
  <c r="G345" i="1"/>
  <c r="F346" i="1"/>
  <c r="G346" i="1"/>
  <c r="F347" i="1"/>
  <c r="G347" i="1"/>
  <c r="F348" i="1"/>
  <c r="G348" i="1"/>
  <c r="F349" i="1"/>
  <c r="G349" i="1"/>
  <c r="F350" i="1"/>
  <c r="G350" i="1"/>
  <c r="F351" i="1"/>
  <c r="G351" i="1"/>
  <c r="F352" i="1"/>
  <c r="G352" i="1"/>
  <c r="F353" i="1"/>
  <c r="G353" i="1"/>
  <c r="F354" i="1"/>
  <c r="G354" i="1"/>
  <c r="F355" i="1"/>
  <c r="G355" i="1"/>
  <c r="F356" i="1"/>
  <c r="G356" i="1"/>
  <c r="F357" i="1"/>
  <c r="G357" i="1"/>
  <c r="F358" i="1"/>
  <c r="G358" i="1"/>
  <c r="F359" i="1"/>
  <c r="G359" i="1"/>
  <c r="F360" i="1"/>
  <c r="G360" i="1"/>
  <c r="F361" i="1"/>
  <c r="G361" i="1"/>
  <c r="F362" i="1"/>
  <c r="G362" i="1"/>
  <c r="F363" i="1"/>
  <c r="G363" i="1"/>
  <c r="F364" i="1"/>
  <c r="G364" i="1"/>
  <c r="F365" i="1"/>
  <c r="G365" i="1"/>
  <c r="F366" i="1"/>
  <c r="G366" i="1"/>
  <c r="F367" i="1"/>
  <c r="G367" i="1"/>
  <c r="F368" i="1"/>
  <c r="G368" i="1"/>
  <c r="F369" i="1"/>
  <c r="G369" i="1"/>
  <c r="F370" i="1"/>
  <c r="G370" i="1"/>
  <c r="F371" i="1"/>
  <c r="G371" i="1"/>
  <c r="F372" i="1"/>
  <c r="G372" i="1"/>
  <c r="F373" i="1"/>
  <c r="G373" i="1"/>
  <c r="F374" i="1"/>
  <c r="G374" i="1"/>
  <c r="F375" i="1"/>
  <c r="G375" i="1"/>
  <c r="F376" i="1"/>
  <c r="G376" i="1"/>
  <c r="F377" i="1"/>
  <c r="G377" i="1"/>
  <c r="F378" i="1"/>
  <c r="G378" i="1"/>
  <c r="F379" i="1"/>
  <c r="G379" i="1"/>
  <c r="F380" i="1"/>
  <c r="G380" i="1"/>
  <c r="F381" i="1"/>
  <c r="G381" i="1"/>
  <c r="F382" i="1"/>
  <c r="G382" i="1"/>
  <c r="F383" i="1"/>
  <c r="G383" i="1"/>
  <c r="F384" i="1"/>
  <c r="G384" i="1"/>
  <c r="F385" i="1"/>
  <c r="G385" i="1"/>
  <c r="F386" i="1"/>
  <c r="G386" i="1"/>
  <c r="F387" i="1"/>
  <c r="G387" i="1"/>
  <c r="F388" i="1"/>
  <c r="G388" i="1"/>
  <c r="F389" i="1"/>
  <c r="G389" i="1"/>
  <c r="F390" i="1"/>
  <c r="G390" i="1"/>
  <c r="F391" i="1"/>
  <c r="G391" i="1"/>
  <c r="F392" i="1"/>
  <c r="G392" i="1"/>
  <c r="F393" i="1"/>
  <c r="G393" i="1"/>
  <c r="F394" i="1"/>
  <c r="G394" i="1"/>
  <c r="F395" i="1"/>
  <c r="G395" i="1"/>
  <c r="F396" i="1"/>
  <c r="G396" i="1"/>
  <c r="F397" i="1"/>
  <c r="G397" i="1"/>
  <c r="F398" i="1"/>
  <c r="G398" i="1"/>
  <c r="F399" i="1"/>
  <c r="G399" i="1"/>
  <c r="F400" i="1"/>
  <c r="G400" i="1"/>
  <c r="F401" i="1"/>
  <c r="G401" i="1"/>
  <c r="F402" i="1"/>
  <c r="G402" i="1"/>
  <c r="F403" i="1"/>
  <c r="G403" i="1"/>
  <c r="F404" i="1"/>
  <c r="G404" i="1"/>
  <c r="F405" i="1"/>
  <c r="G405" i="1"/>
  <c r="F406" i="1"/>
  <c r="G406" i="1"/>
  <c r="F407" i="1"/>
  <c r="G407" i="1"/>
  <c r="F408" i="1"/>
  <c r="G408" i="1"/>
  <c r="F409" i="1"/>
  <c r="G409" i="1"/>
  <c r="F410" i="1"/>
  <c r="G410" i="1"/>
  <c r="F411" i="1"/>
  <c r="G411" i="1"/>
  <c r="F412" i="1"/>
  <c r="G412" i="1"/>
  <c r="F413" i="1"/>
  <c r="G413" i="1"/>
  <c r="F414" i="1"/>
  <c r="G414" i="1"/>
  <c r="F415" i="1"/>
  <c r="G415" i="1"/>
  <c r="F416" i="1"/>
  <c r="G416" i="1"/>
  <c r="F417" i="1"/>
  <c r="G417" i="1"/>
  <c r="F418" i="1"/>
  <c r="G418" i="1"/>
  <c r="F419" i="1"/>
  <c r="G419" i="1"/>
  <c r="F420" i="1"/>
  <c r="G420" i="1"/>
  <c r="F421" i="1"/>
  <c r="G421" i="1"/>
  <c r="F422" i="1"/>
  <c r="G422" i="1"/>
  <c r="F423" i="1"/>
  <c r="G423" i="1"/>
  <c r="F424" i="1"/>
  <c r="G424" i="1"/>
  <c r="F425" i="1"/>
  <c r="G425" i="1"/>
  <c r="F426" i="1"/>
  <c r="G426" i="1"/>
  <c r="F427" i="1"/>
  <c r="G427" i="1"/>
  <c r="F428" i="1"/>
  <c r="G428" i="1"/>
  <c r="F429" i="1"/>
  <c r="G429" i="1"/>
  <c r="F430" i="1"/>
  <c r="G430" i="1"/>
  <c r="F431" i="1"/>
  <c r="G431" i="1"/>
  <c r="F432" i="1"/>
  <c r="G432" i="1"/>
  <c r="F433" i="1"/>
  <c r="G433" i="1"/>
  <c r="F434" i="1"/>
  <c r="G434" i="1"/>
  <c r="F435" i="1"/>
  <c r="G435" i="1"/>
  <c r="F436" i="1"/>
  <c r="G436" i="1"/>
  <c r="F437" i="1"/>
  <c r="G437" i="1"/>
  <c r="F438" i="1"/>
  <c r="G438" i="1"/>
  <c r="F439" i="1"/>
  <c r="G439" i="1"/>
  <c r="F440" i="1"/>
  <c r="G440" i="1"/>
  <c r="F441" i="1"/>
  <c r="G441" i="1"/>
  <c r="F442" i="1"/>
  <c r="G442" i="1"/>
  <c r="F443" i="1"/>
  <c r="G443" i="1"/>
  <c r="F444" i="1"/>
  <c r="G444" i="1"/>
  <c r="F445" i="1"/>
  <c r="G445" i="1"/>
  <c r="F446" i="1"/>
  <c r="G446" i="1"/>
  <c r="F447" i="1"/>
  <c r="G447" i="1"/>
  <c r="F448" i="1"/>
  <c r="G448" i="1"/>
  <c r="F449" i="1"/>
  <c r="G449" i="1"/>
  <c r="F450" i="1"/>
  <c r="G450" i="1"/>
  <c r="F451" i="1"/>
  <c r="G451" i="1"/>
  <c r="F452" i="1"/>
  <c r="G452" i="1"/>
  <c r="F453" i="1"/>
  <c r="G453" i="1"/>
  <c r="F454" i="1"/>
  <c r="G454" i="1"/>
  <c r="F455" i="1"/>
  <c r="G455" i="1"/>
  <c r="F456" i="1"/>
  <c r="G456" i="1"/>
  <c r="F457" i="1"/>
  <c r="G457" i="1"/>
  <c r="F458" i="1"/>
  <c r="G458" i="1"/>
  <c r="F459" i="1"/>
  <c r="G459" i="1"/>
  <c r="F460" i="1"/>
  <c r="G460" i="1"/>
  <c r="F461" i="1"/>
  <c r="G461" i="1"/>
  <c r="F462" i="1"/>
  <c r="G462" i="1"/>
  <c r="F463" i="1"/>
  <c r="G463" i="1"/>
  <c r="F464" i="1"/>
  <c r="G464" i="1"/>
  <c r="F465" i="1"/>
  <c r="G465" i="1"/>
  <c r="F466" i="1"/>
  <c r="G466" i="1"/>
  <c r="F467" i="1"/>
  <c r="G467" i="1"/>
  <c r="F468" i="1"/>
  <c r="G468" i="1"/>
  <c r="F469" i="1"/>
  <c r="G469" i="1"/>
  <c r="F470" i="1"/>
  <c r="G470" i="1"/>
  <c r="F471" i="1"/>
  <c r="G471" i="1"/>
  <c r="F472" i="1"/>
  <c r="G472" i="1"/>
  <c r="F473" i="1"/>
  <c r="G473" i="1"/>
  <c r="F474" i="1"/>
  <c r="G474" i="1"/>
  <c r="F475" i="1"/>
  <c r="G475" i="1"/>
  <c r="F476" i="1"/>
  <c r="G476" i="1"/>
  <c r="F477" i="1"/>
  <c r="G477" i="1"/>
  <c r="F478" i="1"/>
  <c r="G478" i="1"/>
  <c r="F479" i="1"/>
  <c r="G479" i="1"/>
  <c r="F480" i="1"/>
  <c r="G480" i="1"/>
  <c r="F481" i="1"/>
  <c r="G481" i="1"/>
  <c r="F482" i="1"/>
  <c r="G482" i="1"/>
  <c r="F483" i="1"/>
  <c r="G483" i="1"/>
  <c r="F484" i="1"/>
  <c r="G484" i="1"/>
  <c r="F485" i="1"/>
  <c r="G485" i="1"/>
  <c r="F486" i="1"/>
  <c r="G486" i="1"/>
  <c r="F487" i="1"/>
  <c r="G487" i="1"/>
  <c r="F488" i="1"/>
  <c r="G488" i="1"/>
  <c r="F489" i="1"/>
  <c r="G489" i="1"/>
  <c r="F490" i="1"/>
  <c r="G490" i="1"/>
  <c r="F491" i="1"/>
  <c r="G491" i="1"/>
  <c r="F492" i="1"/>
  <c r="G492" i="1"/>
  <c r="F493" i="1"/>
  <c r="G493" i="1"/>
  <c r="F494" i="1"/>
  <c r="G494" i="1"/>
  <c r="F495" i="1"/>
  <c r="G495" i="1"/>
  <c r="F496" i="1"/>
  <c r="G496" i="1"/>
  <c r="F497" i="1"/>
  <c r="G497" i="1"/>
  <c r="F498" i="1"/>
  <c r="G498" i="1"/>
  <c r="F499" i="1"/>
  <c r="G499" i="1"/>
  <c r="F500" i="1"/>
  <c r="G500" i="1"/>
  <c r="F501" i="1"/>
  <c r="G501" i="1"/>
  <c r="F502" i="1"/>
  <c r="G502" i="1"/>
  <c r="F503" i="1"/>
  <c r="G503" i="1"/>
  <c r="F504" i="1"/>
  <c r="G504" i="1"/>
  <c r="F505" i="1"/>
  <c r="G505" i="1"/>
  <c r="F506" i="1"/>
  <c r="G506" i="1"/>
  <c r="F507" i="1"/>
  <c r="G507" i="1"/>
  <c r="F508" i="1"/>
  <c r="G508" i="1"/>
  <c r="F509" i="1"/>
  <c r="G509" i="1"/>
  <c r="F510" i="1"/>
  <c r="G510" i="1"/>
  <c r="F511" i="1"/>
  <c r="G511" i="1"/>
  <c r="F512" i="1"/>
  <c r="G512" i="1"/>
  <c r="F513" i="1"/>
  <c r="G513" i="1"/>
  <c r="F514" i="1"/>
  <c r="G514" i="1"/>
  <c r="F515" i="1"/>
  <c r="G515" i="1"/>
  <c r="F516" i="1"/>
  <c r="G516" i="1"/>
  <c r="F517" i="1"/>
  <c r="G517" i="1"/>
  <c r="F518" i="1"/>
  <c r="G518" i="1"/>
  <c r="F519" i="1"/>
  <c r="G519" i="1"/>
  <c r="F520" i="1"/>
  <c r="G520" i="1"/>
  <c r="F521" i="1"/>
  <c r="G521" i="1"/>
  <c r="F522" i="1"/>
  <c r="G522" i="1"/>
  <c r="F523" i="1"/>
  <c r="G523" i="1"/>
  <c r="F524" i="1"/>
  <c r="G524" i="1"/>
  <c r="F525" i="1"/>
  <c r="G525" i="1"/>
  <c r="F526" i="1"/>
  <c r="G526" i="1"/>
  <c r="F527" i="1"/>
  <c r="G527" i="1"/>
  <c r="F528" i="1"/>
  <c r="G528" i="1"/>
  <c r="F529" i="1"/>
  <c r="G529" i="1"/>
  <c r="F530" i="1"/>
  <c r="G530" i="1"/>
  <c r="F531" i="1"/>
  <c r="G531" i="1"/>
  <c r="F532" i="1"/>
  <c r="G532" i="1"/>
  <c r="F533" i="1"/>
  <c r="G533" i="1"/>
  <c r="F534" i="1"/>
  <c r="G534" i="1"/>
  <c r="F535" i="1"/>
  <c r="G535" i="1"/>
  <c r="F536" i="1"/>
  <c r="G536" i="1"/>
  <c r="F537" i="1"/>
  <c r="G537" i="1"/>
  <c r="F538" i="1"/>
  <c r="G538" i="1"/>
  <c r="F539" i="1"/>
  <c r="G539" i="1"/>
  <c r="F540" i="1"/>
  <c r="G540" i="1"/>
  <c r="F541" i="1"/>
  <c r="G541" i="1"/>
  <c r="F542" i="1"/>
  <c r="G542" i="1"/>
  <c r="F543" i="1"/>
  <c r="G543" i="1"/>
  <c r="F544" i="1"/>
  <c r="G544" i="1"/>
  <c r="F545" i="1"/>
  <c r="G545" i="1"/>
  <c r="F546" i="1"/>
  <c r="G546" i="1"/>
  <c r="F547" i="1"/>
  <c r="G547" i="1"/>
  <c r="F548" i="1"/>
  <c r="G548" i="1"/>
  <c r="F549" i="1"/>
  <c r="G549" i="1"/>
  <c r="F550" i="1"/>
  <c r="G550" i="1"/>
  <c r="F551" i="1"/>
  <c r="G551" i="1"/>
  <c r="F552" i="1"/>
  <c r="G552" i="1"/>
  <c r="F553" i="1"/>
  <c r="G553" i="1"/>
  <c r="F554" i="1"/>
  <c r="G554" i="1"/>
  <c r="F555" i="1"/>
  <c r="G555" i="1"/>
  <c r="F556" i="1"/>
  <c r="G556" i="1"/>
  <c r="F557" i="1"/>
  <c r="G557" i="1"/>
  <c r="F558" i="1"/>
  <c r="G558" i="1"/>
  <c r="F559" i="1"/>
  <c r="G559" i="1"/>
  <c r="F560" i="1"/>
  <c r="G560" i="1"/>
  <c r="F561" i="1"/>
  <c r="G561" i="1"/>
  <c r="F562" i="1"/>
  <c r="G562" i="1"/>
  <c r="F563" i="1"/>
  <c r="G563" i="1"/>
  <c r="F564" i="1"/>
  <c r="G564" i="1"/>
  <c r="F565" i="1"/>
  <c r="G565" i="1"/>
  <c r="F566" i="1"/>
  <c r="G566" i="1"/>
  <c r="F567" i="1"/>
  <c r="G567" i="1"/>
  <c r="F568" i="1"/>
  <c r="G568" i="1"/>
  <c r="F569" i="1"/>
  <c r="G569" i="1"/>
  <c r="F570" i="1"/>
  <c r="G570" i="1"/>
  <c r="F571" i="1"/>
  <c r="G571" i="1"/>
  <c r="F572" i="1"/>
  <c r="G572" i="1"/>
  <c r="F573" i="1"/>
  <c r="G573" i="1"/>
  <c r="F574" i="1"/>
  <c r="G574" i="1"/>
  <c r="F575" i="1"/>
  <c r="G575" i="1"/>
  <c r="F576" i="1"/>
  <c r="G576" i="1"/>
  <c r="F577" i="1"/>
  <c r="G577" i="1"/>
  <c r="F578" i="1"/>
  <c r="G578" i="1"/>
  <c r="F579" i="1"/>
  <c r="G579" i="1"/>
  <c r="F580" i="1"/>
  <c r="G580" i="1"/>
  <c r="F581" i="1"/>
  <c r="G581" i="1"/>
  <c r="F582" i="1"/>
  <c r="G582" i="1"/>
  <c r="F583" i="1"/>
  <c r="G583" i="1"/>
  <c r="F584" i="1"/>
  <c r="G584" i="1"/>
  <c r="F585" i="1"/>
  <c r="G585" i="1"/>
  <c r="F586" i="1"/>
  <c r="G586" i="1"/>
  <c r="F587" i="1"/>
  <c r="G587" i="1"/>
  <c r="F588" i="1"/>
  <c r="G588" i="1"/>
  <c r="F589" i="1"/>
  <c r="G589" i="1"/>
  <c r="F590" i="1"/>
  <c r="G590" i="1"/>
  <c r="F591" i="1"/>
  <c r="G591" i="1"/>
  <c r="F592" i="1"/>
  <c r="G592" i="1"/>
  <c r="F593" i="1"/>
  <c r="G593" i="1"/>
  <c r="F594" i="1"/>
  <c r="G594" i="1"/>
  <c r="F595" i="1"/>
  <c r="G595" i="1"/>
  <c r="F596" i="1"/>
  <c r="G596" i="1"/>
  <c r="F597" i="1"/>
  <c r="G597" i="1"/>
  <c r="F598" i="1"/>
  <c r="G598" i="1"/>
  <c r="F599" i="1"/>
  <c r="G599" i="1"/>
  <c r="F600" i="1"/>
  <c r="G600" i="1"/>
  <c r="F601" i="1"/>
  <c r="G601" i="1"/>
  <c r="F602" i="1"/>
  <c r="G602" i="1"/>
  <c r="F603" i="1"/>
  <c r="G603" i="1"/>
  <c r="F604" i="1"/>
  <c r="G604" i="1"/>
  <c r="F605" i="1"/>
  <c r="G605" i="1"/>
  <c r="F606" i="1"/>
  <c r="G606" i="1"/>
  <c r="F607" i="1"/>
  <c r="G607" i="1"/>
  <c r="F608" i="1"/>
  <c r="G608" i="1"/>
  <c r="F609" i="1"/>
  <c r="G609" i="1"/>
  <c r="F610" i="1"/>
  <c r="G610" i="1"/>
  <c r="F611" i="1"/>
  <c r="G611" i="1"/>
  <c r="F612" i="1"/>
  <c r="G612" i="1"/>
  <c r="F613" i="1"/>
  <c r="G613" i="1"/>
  <c r="F614" i="1"/>
  <c r="G614" i="1"/>
  <c r="F615" i="1"/>
  <c r="G615" i="1"/>
  <c r="F616" i="1"/>
  <c r="G616" i="1"/>
  <c r="F617" i="1"/>
  <c r="G617" i="1"/>
  <c r="F618" i="1"/>
  <c r="G618" i="1"/>
  <c r="F619" i="1"/>
  <c r="G619" i="1"/>
  <c r="F620" i="1"/>
  <c r="G620" i="1"/>
  <c r="F621" i="1"/>
  <c r="G621" i="1"/>
  <c r="F622" i="1"/>
  <c r="G622" i="1"/>
  <c r="F623" i="1"/>
  <c r="G623" i="1"/>
  <c r="F624" i="1"/>
  <c r="G624" i="1"/>
  <c r="F625" i="1"/>
  <c r="G625" i="1"/>
  <c r="F626" i="1"/>
  <c r="G626" i="1"/>
  <c r="F627" i="1"/>
  <c r="G627" i="1"/>
  <c r="F628" i="1"/>
  <c r="G628" i="1"/>
  <c r="F629" i="1"/>
  <c r="G629" i="1"/>
  <c r="F630" i="1"/>
  <c r="G630" i="1"/>
  <c r="F631" i="1"/>
  <c r="G631" i="1"/>
  <c r="F632" i="1"/>
  <c r="G632" i="1"/>
  <c r="F633" i="1"/>
  <c r="G633" i="1"/>
  <c r="F634" i="1"/>
  <c r="G634" i="1"/>
  <c r="F635" i="1"/>
  <c r="G635" i="1"/>
  <c r="F636" i="1"/>
  <c r="G636" i="1"/>
  <c r="F637" i="1"/>
  <c r="G637" i="1"/>
  <c r="F638" i="1"/>
  <c r="G638" i="1"/>
  <c r="F639" i="1"/>
  <c r="G639" i="1"/>
  <c r="F640" i="1"/>
  <c r="G640" i="1"/>
  <c r="F641" i="1"/>
  <c r="G641" i="1"/>
  <c r="F642" i="1"/>
  <c r="G642" i="1"/>
  <c r="F643" i="1"/>
  <c r="G643" i="1"/>
  <c r="F644" i="1"/>
  <c r="G644" i="1"/>
  <c r="F645" i="1"/>
  <c r="G645" i="1"/>
  <c r="F646" i="1"/>
  <c r="G646" i="1"/>
  <c r="F647" i="1"/>
  <c r="G647" i="1"/>
  <c r="F648" i="1"/>
  <c r="G648" i="1"/>
  <c r="F649" i="1"/>
  <c r="G649" i="1"/>
  <c r="F650" i="1"/>
  <c r="G650" i="1"/>
  <c r="F651" i="1"/>
  <c r="G651" i="1"/>
  <c r="F652" i="1"/>
  <c r="G652" i="1"/>
  <c r="F653" i="1"/>
  <c r="G653" i="1"/>
  <c r="F654" i="1"/>
  <c r="G654" i="1"/>
  <c r="F655" i="1"/>
  <c r="G655" i="1"/>
  <c r="F656" i="1"/>
  <c r="G656" i="1"/>
  <c r="F657" i="1"/>
  <c r="G657" i="1"/>
  <c r="F658" i="1"/>
  <c r="G658" i="1"/>
  <c r="F659" i="1"/>
  <c r="G659" i="1"/>
  <c r="F660" i="1"/>
  <c r="G660" i="1"/>
  <c r="F661" i="1"/>
  <c r="G661" i="1"/>
  <c r="F662" i="1"/>
  <c r="G662" i="1"/>
  <c r="F663" i="1"/>
  <c r="G663" i="1"/>
  <c r="F664" i="1"/>
  <c r="G664" i="1"/>
  <c r="F665" i="1"/>
  <c r="G665" i="1"/>
  <c r="F666" i="1"/>
  <c r="G666" i="1"/>
  <c r="F667" i="1"/>
  <c r="G667" i="1"/>
  <c r="F668" i="1"/>
  <c r="G668" i="1"/>
  <c r="F669" i="1"/>
  <c r="G669" i="1"/>
  <c r="F670" i="1"/>
  <c r="G670" i="1"/>
  <c r="F671" i="1"/>
  <c r="G671" i="1"/>
  <c r="F672" i="1"/>
  <c r="G672" i="1"/>
  <c r="F673" i="1"/>
  <c r="G673" i="1"/>
  <c r="F674" i="1"/>
  <c r="G674" i="1"/>
  <c r="F675" i="1"/>
  <c r="G675" i="1"/>
  <c r="F676" i="1"/>
  <c r="G676" i="1"/>
  <c r="F677" i="1"/>
  <c r="G677" i="1"/>
  <c r="F678" i="1"/>
  <c r="G678" i="1"/>
  <c r="F679" i="1"/>
  <c r="G679" i="1"/>
  <c r="F680" i="1"/>
  <c r="G680" i="1"/>
  <c r="F681" i="1"/>
  <c r="G681" i="1"/>
  <c r="F682" i="1"/>
  <c r="G682" i="1"/>
  <c r="F683" i="1"/>
  <c r="G683" i="1"/>
  <c r="F684" i="1"/>
  <c r="G684" i="1"/>
  <c r="F685" i="1"/>
  <c r="G685" i="1"/>
  <c r="F686" i="1"/>
  <c r="G686" i="1"/>
  <c r="F687" i="1"/>
  <c r="G687" i="1"/>
  <c r="F688" i="1"/>
  <c r="G688" i="1"/>
  <c r="F689" i="1"/>
  <c r="G689" i="1"/>
  <c r="F690" i="1"/>
  <c r="G690" i="1"/>
  <c r="F691" i="1"/>
  <c r="G691" i="1"/>
  <c r="F692" i="1"/>
  <c r="G692" i="1"/>
  <c r="F693" i="1"/>
  <c r="G693" i="1"/>
  <c r="F694" i="1"/>
  <c r="G694" i="1"/>
  <c r="F695" i="1"/>
  <c r="G695" i="1"/>
  <c r="F696" i="1"/>
  <c r="G696" i="1"/>
  <c r="F697" i="1"/>
  <c r="G697" i="1"/>
  <c r="F698" i="1"/>
  <c r="G698" i="1"/>
  <c r="F699" i="1"/>
  <c r="G699" i="1"/>
  <c r="F700" i="1"/>
  <c r="G700" i="1"/>
  <c r="F701" i="1"/>
  <c r="G701" i="1"/>
  <c r="F702" i="1"/>
  <c r="G702" i="1"/>
  <c r="F703" i="1"/>
  <c r="G703" i="1"/>
  <c r="F704" i="1"/>
  <c r="G704" i="1"/>
  <c r="F705" i="1"/>
  <c r="G705" i="1"/>
  <c r="F706" i="1"/>
  <c r="G706" i="1"/>
  <c r="F707" i="1"/>
  <c r="G707" i="1"/>
  <c r="F708" i="1"/>
  <c r="G708" i="1"/>
  <c r="F709" i="1"/>
  <c r="G709" i="1"/>
  <c r="F710" i="1"/>
  <c r="G710" i="1"/>
  <c r="F711" i="1"/>
  <c r="G711" i="1"/>
  <c r="F712" i="1"/>
  <c r="G712" i="1"/>
  <c r="F713" i="1"/>
  <c r="G713" i="1"/>
  <c r="F714" i="1"/>
  <c r="G714" i="1"/>
  <c r="F715" i="1"/>
  <c r="G715" i="1"/>
  <c r="F716" i="1"/>
  <c r="G716" i="1"/>
  <c r="F717" i="1"/>
  <c r="G717" i="1"/>
  <c r="F718" i="1"/>
  <c r="G718" i="1"/>
  <c r="F719" i="1"/>
  <c r="G719" i="1"/>
  <c r="F720" i="1"/>
  <c r="G720" i="1"/>
  <c r="F721" i="1"/>
  <c r="G721" i="1"/>
  <c r="F722" i="1"/>
  <c r="G722" i="1"/>
  <c r="F723" i="1"/>
  <c r="G723" i="1"/>
  <c r="F724" i="1"/>
  <c r="G724" i="1"/>
  <c r="F725" i="1"/>
  <c r="G725" i="1"/>
  <c r="F726" i="1"/>
  <c r="G726" i="1"/>
  <c r="F727" i="1"/>
  <c r="G727" i="1"/>
  <c r="F728" i="1"/>
  <c r="G728" i="1"/>
  <c r="F729" i="1"/>
  <c r="G729" i="1"/>
  <c r="F730" i="1"/>
  <c r="G730" i="1"/>
  <c r="F731" i="1"/>
  <c r="G731" i="1"/>
  <c r="F732" i="1"/>
  <c r="G732" i="1"/>
  <c r="F733" i="1"/>
  <c r="G733" i="1"/>
  <c r="F734" i="1"/>
  <c r="G734" i="1"/>
  <c r="F735" i="1"/>
  <c r="G735" i="1"/>
  <c r="F736" i="1"/>
  <c r="G736" i="1"/>
  <c r="F737" i="1"/>
  <c r="G737" i="1"/>
  <c r="F738" i="1"/>
  <c r="G738" i="1"/>
  <c r="F739" i="1"/>
  <c r="G739" i="1"/>
  <c r="F740" i="1"/>
  <c r="G740" i="1"/>
  <c r="F741" i="1"/>
  <c r="G741" i="1"/>
  <c r="F742" i="1"/>
  <c r="G742" i="1"/>
  <c r="F743" i="1"/>
  <c r="G743" i="1"/>
  <c r="F744" i="1"/>
  <c r="G744" i="1"/>
  <c r="F745" i="1"/>
  <c r="G745" i="1"/>
  <c r="F746" i="1"/>
  <c r="G746" i="1"/>
  <c r="F747" i="1"/>
  <c r="G747" i="1"/>
  <c r="F748" i="1"/>
  <c r="G748" i="1"/>
  <c r="F749" i="1"/>
  <c r="G749" i="1"/>
  <c r="F750" i="1"/>
  <c r="G750" i="1"/>
  <c r="F751" i="1"/>
  <c r="G751" i="1"/>
  <c r="F752" i="1"/>
  <c r="G752" i="1"/>
  <c r="F753" i="1"/>
  <c r="G753" i="1"/>
  <c r="F754" i="1"/>
  <c r="G754" i="1"/>
  <c r="F755" i="1"/>
  <c r="G755" i="1"/>
  <c r="F756" i="1"/>
  <c r="G756" i="1"/>
  <c r="F757" i="1"/>
  <c r="G757" i="1"/>
  <c r="F758" i="1"/>
  <c r="G758" i="1"/>
  <c r="F759" i="1"/>
  <c r="G759" i="1"/>
  <c r="F760" i="1"/>
  <c r="G760" i="1"/>
  <c r="F761" i="1"/>
  <c r="G761" i="1"/>
  <c r="F762" i="1"/>
  <c r="G762" i="1"/>
  <c r="F763" i="1"/>
  <c r="G763" i="1"/>
  <c r="F764" i="1"/>
  <c r="G764" i="1"/>
  <c r="F765" i="1"/>
  <c r="G765" i="1"/>
  <c r="F766" i="1"/>
  <c r="G766" i="1"/>
  <c r="F767" i="1"/>
  <c r="G767" i="1"/>
  <c r="F768" i="1"/>
  <c r="G768" i="1"/>
  <c r="F769" i="1"/>
  <c r="G769" i="1"/>
  <c r="F770" i="1"/>
  <c r="G770" i="1"/>
  <c r="F771" i="1"/>
  <c r="G771" i="1"/>
  <c r="F772" i="1"/>
  <c r="G772" i="1"/>
  <c r="F773" i="1"/>
  <c r="G773" i="1"/>
  <c r="F774" i="1"/>
  <c r="G774" i="1"/>
  <c r="F775" i="1"/>
  <c r="G775" i="1"/>
  <c r="F776" i="1"/>
  <c r="G776" i="1"/>
  <c r="F777" i="1"/>
  <c r="G777" i="1"/>
  <c r="F778" i="1"/>
  <c r="G778" i="1"/>
  <c r="F779" i="1"/>
  <c r="G779" i="1"/>
  <c r="F780" i="1"/>
  <c r="G780" i="1"/>
  <c r="F781" i="1"/>
  <c r="G781" i="1"/>
  <c r="F782" i="1"/>
  <c r="G782" i="1"/>
  <c r="F783" i="1"/>
  <c r="G783" i="1"/>
  <c r="F784" i="1"/>
  <c r="G784" i="1"/>
  <c r="F785" i="1"/>
  <c r="G785" i="1"/>
  <c r="F786" i="1"/>
  <c r="G786" i="1"/>
  <c r="F787" i="1"/>
  <c r="G787" i="1"/>
  <c r="F788" i="1"/>
  <c r="G788" i="1"/>
  <c r="F789" i="1"/>
  <c r="G789" i="1"/>
  <c r="F790" i="1"/>
  <c r="G790" i="1"/>
  <c r="F791" i="1"/>
  <c r="G791" i="1"/>
  <c r="F792" i="1"/>
  <c r="G792" i="1"/>
  <c r="F793" i="1"/>
  <c r="G793" i="1"/>
  <c r="F794" i="1"/>
  <c r="G794" i="1"/>
  <c r="F795" i="1"/>
  <c r="G795" i="1"/>
  <c r="F796" i="1"/>
  <c r="G796" i="1"/>
  <c r="F797" i="1"/>
  <c r="G797" i="1"/>
  <c r="F798" i="1"/>
  <c r="G798" i="1"/>
  <c r="F799" i="1"/>
  <c r="G799" i="1"/>
  <c r="F800" i="1"/>
  <c r="G800" i="1"/>
  <c r="F801" i="1"/>
  <c r="G801" i="1"/>
  <c r="F802" i="1"/>
  <c r="G802" i="1"/>
  <c r="F803" i="1"/>
  <c r="G803" i="1"/>
  <c r="F804" i="1"/>
  <c r="G804" i="1"/>
  <c r="F805" i="1"/>
  <c r="G805" i="1"/>
  <c r="F806" i="1"/>
  <c r="G806" i="1"/>
  <c r="F807" i="1"/>
  <c r="G807" i="1"/>
  <c r="F808" i="1"/>
  <c r="G808" i="1"/>
  <c r="F809" i="1"/>
  <c r="G809" i="1"/>
  <c r="F810" i="1"/>
  <c r="G810" i="1"/>
  <c r="F811" i="1"/>
  <c r="G811" i="1"/>
  <c r="F812" i="1"/>
  <c r="G812" i="1"/>
  <c r="F813" i="1"/>
  <c r="G813" i="1"/>
  <c r="F814" i="1"/>
  <c r="G814" i="1"/>
  <c r="F815" i="1"/>
  <c r="G815" i="1"/>
  <c r="F816" i="1"/>
  <c r="G816" i="1"/>
  <c r="F817" i="1"/>
  <c r="G817" i="1"/>
  <c r="F818" i="1"/>
  <c r="G818" i="1"/>
  <c r="F819" i="1"/>
  <c r="G819" i="1"/>
  <c r="F820" i="1"/>
  <c r="G820" i="1"/>
  <c r="F821" i="1"/>
  <c r="G821" i="1"/>
  <c r="F822" i="1"/>
  <c r="G822" i="1"/>
  <c r="F823" i="1"/>
  <c r="G823" i="1"/>
  <c r="F824" i="1"/>
  <c r="G824" i="1"/>
  <c r="F825" i="1"/>
  <c r="G825" i="1"/>
  <c r="F826" i="1"/>
  <c r="G826" i="1"/>
  <c r="F827" i="1"/>
  <c r="G827" i="1"/>
  <c r="F828" i="1"/>
  <c r="G828" i="1"/>
  <c r="F829" i="1"/>
  <c r="G829" i="1"/>
  <c r="F830" i="1"/>
  <c r="G830" i="1"/>
  <c r="F831" i="1"/>
  <c r="G831" i="1"/>
  <c r="F832" i="1"/>
  <c r="G832" i="1"/>
  <c r="F833" i="1"/>
  <c r="G833" i="1"/>
  <c r="F834" i="1"/>
  <c r="G834" i="1"/>
  <c r="F835" i="1"/>
  <c r="G835" i="1"/>
  <c r="F836" i="1"/>
  <c r="G836" i="1"/>
  <c r="F837" i="1"/>
  <c r="G837" i="1"/>
  <c r="F838" i="1"/>
  <c r="G838" i="1"/>
  <c r="F839" i="1"/>
  <c r="G839" i="1"/>
  <c r="F840" i="1"/>
  <c r="G840" i="1"/>
  <c r="F841" i="1"/>
  <c r="G841" i="1"/>
  <c r="F842" i="1"/>
  <c r="G842" i="1"/>
  <c r="F843" i="1"/>
  <c r="G843" i="1"/>
  <c r="F844" i="1"/>
  <c r="G844" i="1"/>
  <c r="F845" i="1"/>
  <c r="G845" i="1"/>
  <c r="F846" i="1"/>
  <c r="G846" i="1"/>
  <c r="F847" i="1"/>
  <c r="G847" i="1"/>
  <c r="F848" i="1"/>
  <c r="G848" i="1"/>
  <c r="F849" i="1"/>
  <c r="G849" i="1"/>
  <c r="F850" i="1"/>
  <c r="G850" i="1"/>
  <c r="F851" i="1"/>
  <c r="G851" i="1"/>
  <c r="F852" i="1"/>
  <c r="G852" i="1"/>
  <c r="F853" i="1"/>
  <c r="G853" i="1"/>
  <c r="F854" i="1"/>
  <c r="G854" i="1"/>
  <c r="F855" i="1"/>
  <c r="G855" i="1"/>
  <c r="F856" i="1"/>
  <c r="G856" i="1"/>
  <c r="F857" i="1"/>
  <c r="G857" i="1"/>
  <c r="F858" i="1"/>
  <c r="G858" i="1"/>
  <c r="F859" i="1"/>
  <c r="G859" i="1"/>
  <c r="F860" i="1"/>
  <c r="G860" i="1"/>
  <c r="F861" i="1"/>
  <c r="G861" i="1"/>
  <c r="F862" i="1"/>
  <c r="G862" i="1"/>
  <c r="F863" i="1"/>
  <c r="G863" i="1"/>
  <c r="F864" i="1"/>
  <c r="G864" i="1"/>
  <c r="F865" i="1"/>
  <c r="G865" i="1"/>
  <c r="F866" i="1"/>
  <c r="G866" i="1"/>
  <c r="F867" i="1"/>
  <c r="G867" i="1"/>
  <c r="F868" i="1"/>
  <c r="G868" i="1"/>
  <c r="F869" i="1"/>
  <c r="G869" i="1"/>
  <c r="F870" i="1"/>
  <c r="G870" i="1"/>
  <c r="F871" i="1"/>
  <c r="G871" i="1"/>
  <c r="F872" i="1"/>
  <c r="G872" i="1"/>
  <c r="F873" i="1"/>
  <c r="G873" i="1"/>
  <c r="F874" i="1"/>
  <c r="G874" i="1"/>
  <c r="F875" i="1"/>
  <c r="G875" i="1"/>
  <c r="F876" i="1"/>
  <c r="G876" i="1"/>
  <c r="F877" i="1"/>
  <c r="G877" i="1"/>
  <c r="F878" i="1"/>
  <c r="G878" i="1"/>
  <c r="F879" i="1"/>
  <c r="G879" i="1"/>
  <c r="F880" i="1"/>
  <c r="G880" i="1"/>
  <c r="F881" i="1"/>
  <c r="G881" i="1"/>
  <c r="F882" i="1"/>
  <c r="G882" i="1"/>
  <c r="F883" i="1"/>
  <c r="G883" i="1"/>
  <c r="F884" i="1"/>
  <c r="G884" i="1"/>
  <c r="F885" i="1"/>
  <c r="G885" i="1"/>
  <c r="F886" i="1"/>
  <c r="G886" i="1"/>
  <c r="F887" i="1"/>
  <c r="G887" i="1"/>
  <c r="F888" i="1"/>
  <c r="G888" i="1"/>
  <c r="F889" i="1"/>
  <c r="G889" i="1"/>
  <c r="F890" i="1"/>
  <c r="G890" i="1"/>
  <c r="F891" i="1"/>
  <c r="G891" i="1"/>
  <c r="F892" i="1"/>
  <c r="G892" i="1"/>
  <c r="F893" i="1"/>
  <c r="G893" i="1"/>
  <c r="F894" i="1"/>
  <c r="G894" i="1"/>
  <c r="F895" i="1"/>
  <c r="G895" i="1"/>
  <c r="F896" i="1"/>
  <c r="G896" i="1"/>
  <c r="F897" i="1"/>
  <c r="G897" i="1"/>
  <c r="F898" i="1"/>
  <c r="G898" i="1"/>
  <c r="F899" i="1"/>
  <c r="G899" i="1"/>
  <c r="F900" i="1"/>
  <c r="G900" i="1"/>
  <c r="F901" i="1"/>
  <c r="G901" i="1"/>
  <c r="F902" i="1"/>
  <c r="G902" i="1"/>
  <c r="F903" i="1"/>
  <c r="G903" i="1"/>
  <c r="F904" i="1"/>
  <c r="G904" i="1"/>
  <c r="F905" i="1"/>
  <c r="G905" i="1"/>
  <c r="F906" i="1"/>
  <c r="G906" i="1"/>
  <c r="F907" i="1"/>
  <c r="G907" i="1"/>
  <c r="F908" i="1"/>
  <c r="G908" i="1"/>
  <c r="F909" i="1"/>
  <c r="G909" i="1"/>
  <c r="F910" i="1"/>
  <c r="G910" i="1"/>
  <c r="F911" i="1"/>
  <c r="G911" i="1"/>
  <c r="F912" i="1"/>
  <c r="G912" i="1"/>
  <c r="F913" i="1"/>
  <c r="G913" i="1"/>
  <c r="F914" i="1"/>
  <c r="G914" i="1"/>
  <c r="F915" i="1"/>
  <c r="G915" i="1"/>
  <c r="F916" i="1"/>
  <c r="G916" i="1"/>
  <c r="F917" i="1"/>
  <c r="G917" i="1"/>
  <c r="F918" i="1"/>
  <c r="G918" i="1"/>
  <c r="F919" i="1"/>
  <c r="G919" i="1"/>
  <c r="F920" i="1"/>
  <c r="G920" i="1"/>
  <c r="F921" i="1"/>
  <c r="G921" i="1"/>
  <c r="F922" i="1"/>
  <c r="G922" i="1"/>
  <c r="F923" i="1"/>
  <c r="G923" i="1"/>
  <c r="F924" i="1"/>
  <c r="G924" i="1"/>
  <c r="F925" i="1"/>
  <c r="G925" i="1"/>
  <c r="F926" i="1"/>
  <c r="G926" i="1"/>
  <c r="F927" i="1"/>
  <c r="G927" i="1"/>
  <c r="F928" i="1"/>
  <c r="G928" i="1"/>
  <c r="F929" i="1"/>
  <c r="G929" i="1"/>
  <c r="F930" i="1"/>
  <c r="G930" i="1"/>
  <c r="F931" i="1"/>
  <c r="G931" i="1"/>
  <c r="F932" i="1"/>
  <c r="G932" i="1"/>
  <c r="F933" i="1"/>
  <c r="G933" i="1"/>
  <c r="F934" i="1"/>
  <c r="G934" i="1"/>
  <c r="F935" i="1"/>
  <c r="G935" i="1"/>
  <c r="F936" i="1"/>
  <c r="G936" i="1"/>
  <c r="F937" i="1"/>
  <c r="G937" i="1"/>
  <c r="F938" i="1"/>
  <c r="G938" i="1"/>
  <c r="F939" i="1"/>
  <c r="G939" i="1"/>
  <c r="F940" i="1"/>
  <c r="G940" i="1"/>
  <c r="F941" i="1"/>
  <c r="G941" i="1"/>
  <c r="F942" i="1"/>
  <c r="G942" i="1"/>
  <c r="F943" i="1"/>
  <c r="G943" i="1"/>
  <c r="F944" i="1"/>
  <c r="G944" i="1"/>
  <c r="F945" i="1"/>
  <c r="G945" i="1"/>
  <c r="F946" i="1"/>
  <c r="G946" i="1"/>
  <c r="F947" i="1"/>
  <c r="G947" i="1"/>
  <c r="F948" i="1"/>
  <c r="G948" i="1"/>
  <c r="F949" i="1"/>
  <c r="G949" i="1"/>
  <c r="F950" i="1"/>
  <c r="G950" i="1"/>
  <c r="F951" i="1"/>
  <c r="G951" i="1"/>
  <c r="F952" i="1"/>
  <c r="G952" i="1"/>
  <c r="F953" i="1"/>
  <c r="G953" i="1"/>
  <c r="F954" i="1"/>
  <c r="G954" i="1"/>
  <c r="F955" i="1"/>
  <c r="G955" i="1"/>
  <c r="F956" i="1"/>
  <c r="G956" i="1"/>
  <c r="F957" i="1"/>
  <c r="G957" i="1"/>
  <c r="F958" i="1"/>
  <c r="G958" i="1"/>
  <c r="F959" i="1"/>
  <c r="G959" i="1"/>
  <c r="F960" i="1"/>
  <c r="G960" i="1"/>
  <c r="F961" i="1"/>
  <c r="G961" i="1"/>
  <c r="F962" i="1"/>
  <c r="G962" i="1"/>
  <c r="F963" i="1"/>
  <c r="G963" i="1"/>
  <c r="F964" i="1"/>
  <c r="G964" i="1"/>
  <c r="F965" i="1"/>
  <c r="G965" i="1"/>
  <c r="F966" i="1"/>
  <c r="G966" i="1"/>
  <c r="F967" i="1"/>
  <c r="G967" i="1"/>
  <c r="F968" i="1"/>
  <c r="G968" i="1"/>
  <c r="F969" i="1"/>
  <c r="G969" i="1"/>
  <c r="F970" i="1"/>
  <c r="G970" i="1"/>
  <c r="F971" i="1"/>
  <c r="G971" i="1"/>
  <c r="F972" i="1"/>
  <c r="G972" i="1"/>
  <c r="F973" i="1"/>
  <c r="G973" i="1"/>
  <c r="F974" i="1"/>
  <c r="G974" i="1"/>
  <c r="F975" i="1"/>
  <c r="G975" i="1"/>
  <c r="F976" i="1"/>
  <c r="G976" i="1"/>
  <c r="F977" i="1"/>
  <c r="G977" i="1"/>
  <c r="F978" i="1"/>
  <c r="G978" i="1"/>
  <c r="F979" i="1"/>
  <c r="G979" i="1"/>
  <c r="F980" i="1"/>
  <c r="G980" i="1"/>
  <c r="F981" i="1"/>
  <c r="G981" i="1"/>
  <c r="F982" i="1"/>
  <c r="G982" i="1"/>
  <c r="F983" i="1"/>
  <c r="G983" i="1"/>
  <c r="F984" i="1"/>
  <c r="G984" i="1"/>
  <c r="F985" i="1"/>
  <c r="G985" i="1"/>
  <c r="F986" i="1"/>
  <c r="G986" i="1"/>
  <c r="F987" i="1"/>
  <c r="G987" i="1"/>
  <c r="F988" i="1"/>
  <c r="G988" i="1"/>
  <c r="F989" i="1"/>
  <c r="G989" i="1"/>
  <c r="F990" i="1"/>
  <c r="G990" i="1"/>
  <c r="F991" i="1"/>
  <c r="G991" i="1"/>
  <c r="F992" i="1"/>
  <c r="G992" i="1"/>
  <c r="F993" i="1"/>
  <c r="G993" i="1"/>
  <c r="F994" i="1"/>
  <c r="G994" i="1"/>
  <c r="F995" i="1"/>
  <c r="G995" i="1"/>
  <c r="F996" i="1"/>
  <c r="G996" i="1"/>
  <c r="F997" i="1"/>
  <c r="G997" i="1"/>
  <c r="F998" i="1"/>
  <c r="G998" i="1"/>
  <c r="F999" i="1"/>
  <c r="G999" i="1"/>
  <c r="F1000" i="1"/>
  <c r="G1000" i="1"/>
  <c r="F1001" i="1"/>
  <c r="G1001" i="1"/>
  <c r="F1002" i="1"/>
  <c r="G1002" i="1"/>
  <c r="F1003" i="1"/>
  <c r="G1003" i="1"/>
  <c r="F1004" i="1"/>
  <c r="G1004" i="1"/>
  <c r="F1005" i="1"/>
  <c r="G1005" i="1"/>
  <c r="F1006" i="1"/>
  <c r="G1006" i="1"/>
  <c r="F1007" i="1"/>
  <c r="G1007" i="1"/>
  <c r="F1008" i="1"/>
  <c r="G1008" i="1"/>
  <c r="F1009" i="1"/>
  <c r="G1009" i="1"/>
  <c r="F1010" i="1"/>
  <c r="G1010" i="1"/>
  <c r="F1011" i="1"/>
  <c r="G1011" i="1"/>
  <c r="F1012" i="1"/>
  <c r="G1012" i="1"/>
  <c r="F1013" i="1"/>
  <c r="G1013" i="1"/>
  <c r="F1014" i="1"/>
  <c r="G1014" i="1"/>
  <c r="F1015" i="1"/>
  <c r="G1015" i="1"/>
  <c r="F1016" i="1"/>
  <c r="G1016" i="1"/>
  <c r="F1017" i="1"/>
  <c r="G1017" i="1"/>
  <c r="F1018" i="1"/>
  <c r="G1018" i="1"/>
  <c r="F1019" i="1"/>
  <c r="G1019" i="1"/>
  <c r="F1020" i="1"/>
  <c r="G1020" i="1"/>
  <c r="F1021" i="1"/>
  <c r="G1021" i="1"/>
  <c r="F1022" i="1"/>
  <c r="G1022" i="1"/>
  <c r="F1023" i="1"/>
  <c r="G1023" i="1"/>
  <c r="F1024" i="1"/>
  <c r="G1024" i="1"/>
  <c r="F1025" i="1"/>
  <c r="G1025" i="1"/>
  <c r="F1026" i="1"/>
  <c r="G1026" i="1"/>
  <c r="F1027" i="1"/>
  <c r="G1027" i="1"/>
  <c r="F1028" i="1"/>
  <c r="G1028" i="1"/>
  <c r="F1029" i="1"/>
  <c r="G1029" i="1"/>
  <c r="F1030" i="1"/>
  <c r="G1030" i="1"/>
  <c r="F1031" i="1"/>
  <c r="G1031" i="1"/>
  <c r="F1032" i="1"/>
  <c r="G1032" i="1"/>
  <c r="F1033" i="1"/>
  <c r="G1033" i="1"/>
  <c r="F1034" i="1"/>
  <c r="G1034" i="1"/>
  <c r="F1035" i="1"/>
  <c r="G1035" i="1"/>
  <c r="F1036" i="1"/>
  <c r="G1036" i="1"/>
  <c r="F1037" i="1"/>
  <c r="G1037" i="1"/>
  <c r="F1038" i="1"/>
  <c r="G1038" i="1"/>
  <c r="F1039" i="1"/>
  <c r="G1039" i="1"/>
  <c r="F1040" i="1"/>
  <c r="G1040" i="1"/>
  <c r="F1041" i="1"/>
  <c r="G1041" i="1"/>
  <c r="F1042" i="1"/>
  <c r="G1042" i="1"/>
  <c r="F1043" i="1"/>
  <c r="G1043" i="1"/>
  <c r="F1044" i="1"/>
  <c r="G1044" i="1"/>
  <c r="F1045" i="1"/>
  <c r="G1045" i="1"/>
  <c r="F1046" i="1"/>
  <c r="G1046" i="1"/>
  <c r="F1047" i="1"/>
  <c r="G1047" i="1"/>
  <c r="F1048" i="1"/>
  <c r="G1048" i="1"/>
  <c r="F1049" i="1"/>
  <c r="G1049" i="1"/>
  <c r="F1050" i="1"/>
  <c r="G1050" i="1"/>
  <c r="F1051" i="1"/>
  <c r="G1051" i="1"/>
  <c r="F1052" i="1"/>
  <c r="G1052" i="1"/>
  <c r="F1053" i="1"/>
  <c r="G1053" i="1"/>
  <c r="F1054" i="1"/>
  <c r="G1054" i="1"/>
  <c r="F1055" i="1"/>
  <c r="G1055" i="1"/>
  <c r="F1056" i="1"/>
  <c r="G1056" i="1"/>
  <c r="F1057" i="1"/>
  <c r="G1057" i="1"/>
  <c r="F1058" i="1"/>
  <c r="G1058" i="1"/>
  <c r="F1059" i="1"/>
  <c r="G1059" i="1"/>
  <c r="F1060" i="1"/>
  <c r="G1060" i="1"/>
  <c r="F1061" i="1"/>
  <c r="G1061" i="1"/>
  <c r="F1062" i="1"/>
  <c r="G1062" i="1"/>
  <c r="F1063" i="1"/>
  <c r="G1063" i="1"/>
  <c r="F1064" i="1"/>
  <c r="G1064" i="1"/>
  <c r="F1065" i="1"/>
  <c r="G1065" i="1"/>
  <c r="F1066" i="1"/>
  <c r="G1066" i="1"/>
  <c r="F1067" i="1"/>
  <c r="G1067" i="1"/>
  <c r="F1068" i="1"/>
  <c r="G1068" i="1"/>
  <c r="F1069" i="1"/>
  <c r="G1069" i="1"/>
  <c r="F1070" i="1"/>
  <c r="G1070" i="1"/>
  <c r="F1071" i="1"/>
  <c r="G1071" i="1"/>
  <c r="F1072" i="1"/>
  <c r="G1072" i="1"/>
  <c r="F1073" i="1"/>
  <c r="G1073" i="1"/>
  <c r="F1074" i="1"/>
  <c r="G1074" i="1"/>
  <c r="F1075" i="1"/>
  <c r="G1075" i="1"/>
  <c r="F1076" i="1"/>
  <c r="G1076" i="1"/>
  <c r="F1077" i="1"/>
  <c r="G1077" i="1"/>
  <c r="F1078" i="1"/>
  <c r="G1078" i="1"/>
  <c r="F1079" i="1"/>
  <c r="G1079" i="1"/>
  <c r="F1080" i="1"/>
  <c r="G1080" i="1"/>
  <c r="F1081" i="1"/>
  <c r="G1081" i="1"/>
  <c r="F1082" i="1"/>
  <c r="G1082" i="1"/>
  <c r="F1083" i="1"/>
  <c r="G1083" i="1"/>
  <c r="F1084" i="1"/>
  <c r="G1084" i="1"/>
  <c r="F1085" i="1"/>
  <c r="G1085" i="1"/>
  <c r="F1086" i="1"/>
  <c r="G1086" i="1"/>
  <c r="F1087" i="1"/>
  <c r="G1087" i="1"/>
  <c r="F1088" i="1"/>
  <c r="G1088" i="1"/>
  <c r="F1089" i="1"/>
  <c r="G1089" i="1"/>
  <c r="F1090" i="1"/>
  <c r="G1090" i="1"/>
  <c r="F1091" i="1"/>
  <c r="G1091" i="1"/>
  <c r="F1092" i="1"/>
  <c r="G1092" i="1"/>
  <c r="F1093" i="1"/>
  <c r="G1093" i="1"/>
  <c r="F1094" i="1"/>
  <c r="G1094" i="1"/>
  <c r="F1095" i="1"/>
  <c r="G1095" i="1"/>
  <c r="F1096" i="1"/>
  <c r="G1096" i="1"/>
  <c r="F1097" i="1"/>
  <c r="G1097" i="1"/>
  <c r="F1098" i="1"/>
  <c r="G1098" i="1"/>
  <c r="F1099" i="1"/>
  <c r="G1099" i="1"/>
  <c r="F1100" i="1"/>
  <c r="G1100" i="1"/>
  <c r="F1101" i="1"/>
  <c r="G1101" i="1"/>
  <c r="F1102" i="1"/>
  <c r="G1102" i="1"/>
  <c r="F1103" i="1"/>
  <c r="G1103" i="1"/>
  <c r="F1104" i="1"/>
  <c r="G1104" i="1"/>
  <c r="F1105" i="1"/>
  <c r="G1105" i="1"/>
  <c r="F1106" i="1"/>
  <c r="G1106" i="1"/>
  <c r="F1107" i="1"/>
  <c r="G1107" i="1"/>
  <c r="F1108" i="1"/>
  <c r="G1108" i="1"/>
  <c r="F1109" i="1"/>
  <c r="G1109" i="1"/>
  <c r="F1110" i="1"/>
  <c r="G1110" i="1"/>
  <c r="F1111" i="1"/>
  <c r="G1111" i="1"/>
  <c r="F1112" i="1"/>
  <c r="G1112" i="1"/>
  <c r="F1113" i="1"/>
  <c r="G1113" i="1"/>
  <c r="F1114" i="1"/>
  <c r="G1114" i="1"/>
  <c r="F1115" i="1"/>
  <c r="G1115" i="1"/>
  <c r="F1116" i="1"/>
  <c r="G1116" i="1"/>
  <c r="F1117" i="1"/>
  <c r="G1117" i="1"/>
  <c r="F1118" i="1"/>
  <c r="G1118" i="1"/>
  <c r="F1119" i="1"/>
  <c r="G1119" i="1"/>
  <c r="F1120" i="1"/>
  <c r="G1120" i="1"/>
  <c r="F1121" i="1"/>
  <c r="G1121" i="1"/>
  <c r="F1122" i="1"/>
  <c r="G1122" i="1"/>
  <c r="F1123" i="1"/>
  <c r="G1123" i="1"/>
  <c r="F1124" i="1"/>
  <c r="G1124" i="1"/>
  <c r="F1125" i="1"/>
  <c r="G1125" i="1"/>
  <c r="F1126" i="1"/>
  <c r="G1126" i="1"/>
  <c r="F1127" i="1"/>
  <c r="G1127" i="1"/>
  <c r="F1128" i="1"/>
  <c r="G1128" i="1"/>
  <c r="F1129" i="1"/>
  <c r="G1129" i="1"/>
  <c r="F1130" i="1"/>
  <c r="G1130" i="1"/>
  <c r="F1131" i="1"/>
  <c r="G1131" i="1"/>
  <c r="F1132" i="1"/>
  <c r="G1132" i="1"/>
  <c r="F1133" i="1"/>
  <c r="G1133" i="1"/>
  <c r="F1134" i="1"/>
  <c r="G1134" i="1"/>
  <c r="F1135" i="1"/>
  <c r="G1135" i="1"/>
  <c r="F1136" i="1"/>
  <c r="G1136" i="1"/>
  <c r="F1137" i="1"/>
  <c r="G1137" i="1"/>
  <c r="F1138" i="1"/>
  <c r="G1138" i="1"/>
  <c r="F1139" i="1"/>
  <c r="G1139" i="1"/>
  <c r="F1140" i="1"/>
  <c r="G1140" i="1"/>
  <c r="F1141" i="1"/>
  <c r="G1141" i="1"/>
  <c r="F1142" i="1"/>
  <c r="G1142" i="1"/>
  <c r="F1143" i="1"/>
  <c r="G1143" i="1"/>
  <c r="F1144" i="1"/>
  <c r="G1144" i="1"/>
  <c r="F1145" i="1"/>
  <c r="G1145" i="1"/>
  <c r="F1146" i="1"/>
  <c r="G1146" i="1"/>
  <c r="F1147" i="1"/>
  <c r="G1147" i="1"/>
  <c r="F1148" i="1"/>
  <c r="G1148" i="1"/>
  <c r="F1149" i="1"/>
  <c r="G1149" i="1"/>
  <c r="F1150" i="1"/>
  <c r="G1150" i="1"/>
  <c r="F1151" i="1"/>
  <c r="G1151" i="1"/>
  <c r="F1152" i="1"/>
  <c r="G1152" i="1"/>
  <c r="F1153" i="1"/>
  <c r="G1153" i="1"/>
  <c r="F1154" i="1"/>
  <c r="G1154" i="1"/>
  <c r="F1155" i="1"/>
  <c r="G1155" i="1"/>
  <c r="F1156" i="1"/>
  <c r="G1156" i="1"/>
  <c r="F1157" i="1"/>
  <c r="G1157" i="1"/>
  <c r="F1158" i="1"/>
  <c r="G1158" i="1"/>
  <c r="F1159" i="1"/>
  <c r="G1159" i="1"/>
  <c r="F1160" i="1"/>
  <c r="G1160" i="1"/>
  <c r="F1161" i="1"/>
  <c r="G1161" i="1"/>
  <c r="F1162" i="1"/>
  <c r="G1162" i="1"/>
  <c r="F1163" i="1"/>
  <c r="G1163" i="1"/>
  <c r="F1164" i="1"/>
  <c r="G1164" i="1"/>
  <c r="F1165" i="1"/>
  <c r="G1165" i="1"/>
  <c r="F1166" i="1"/>
  <c r="G1166" i="1"/>
  <c r="F1167" i="1"/>
  <c r="G1167" i="1"/>
  <c r="F1168" i="1"/>
  <c r="G1168" i="1"/>
  <c r="F1169" i="1"/>
  <c r="G1169" i="1"/>
  <c r="F1170" i="1"/>
  <c r="G1170" i="1"/>
  <c r="F1171" i="1"/>
  <c r="G1171" i="1"/>
  <c r="F1172" i="1"/>
  <c r="G1172" i="1"/>
  <c r="F1173" i="1"/>
  <c r="G1173" i="1"/>
  <c r="F1174" i="1"/>
  <c r="G1174" i="1"/>
  <c r="F1175" i="1"/>
  <c r="G1175" i="1"/>
  <c r="F1176" i="1"/>
  <c r="G1176" i="1"/>
  <c r="F1177" i="1"/>
  <c r="G1177" i="1"/>
  <c r="F1178" i="1"/>
  <c r="G1178" i="1"/>
  <c r="F1179" i="1"/>
  <c r="G1179" i="1"/>
  <c r="F1180" i="1"/>
  <c r="G1180" i="1"/>
  <c r="F1181" i="1"/>
  <c r="G1181" i="1"/>
  <c r="F1182" i="1"/>
  <c r="G1182" i="1"/>
  <c r="F1183" i="1"/>
  <c r="G1183" i="1"/>
  <c r="F1184" i="1"/>
  <c r="G1184" i="1"/>
  <c r="F1185" i="1"/>
  <c r="G1185" i="1"/>
  <c r="F1186" i="1"/>
  <c r="G1186" i="1"/>
  <c r="F1187" i="1"/>
  <c r="G1187" i="1"/>
  <c r="F1188" i="1"/>
  <c r="G1188" i="1"/>
  <c r="F1189" i="1"/>
  <c r="G1189" i="1"/>
  <c r="F1190" i="1"/>
  <c r="G1190" i="1"/>
  <c r="F1191" i="1"/>
  <c r="G1191" i="1"/>
  <c r="F1192" i="1"/>
  <c r="G1192" i="1"/>
  <c r="F1193" i="1"/>
  <c r="G1193" i="1"/>
  <c r="F1194" i="1"/>
  <c r="G1194" i="1"/>
  <c r="F1195" i="1"/>
  <c r="G1195" i="1"/>
  <c r="F1196" i="1"/>
  <c r="G1196" i="1"/>
  <c r="F1197" i="1"/>
  <c r="G1197" i="1"/>
  <c r="F1198" i="1"/>
  <c r="G1198" i="1"/>
  <c r="F1199" i="1"/>
  <c r="G1199" i="1"/>
  <c r="F1200" i="1"/>
  <c r="G1200" i="1"/>
  <c r="F1201" i="1"/>
  <c r="G1201" i="1"/>
  <c r="F1202" i="1"/>
  <c r="G1202" i="1"/>
  <c r="F1203" i="1"/>
  <c r="G1203" i="1"/>
  <c r="F1204" i="1"/>
  <c r="G1204" i="1"/>
  <c r="F1205" i="1"/>
  <c r="G1205" i="1"/>
  <c r="F1206" i="1"/>
  <c r="G1206" i="1"/>
  <c r="F1207" i="1"/>
  <c r="G1207" i="1"/>
  <c r="F1208" i="1"/>
  <c r="G1208" i="1"/>
  <c r="F1209" i="1"/>
  <c r="G1209" i="1"/>
  <c r="F1210" i="1"/>
  <c r="G1210" i="1"/>
  <c r="F1211" i="1"/>
  <c r="G1211" i="1"/>
  <c r="F1212" i="1"/>
  <c r="G1212" i="1"/>
  <c r="F1213" i="1"/>
  <c r="G1213" i="1"/>
  <c r="F1214" i="1"/>
  <c r="G1214" i="1"/>
  <c r="F1215" i="1"/>
  <c r="G1215" i="1"/>
  <c r="F1216" i="1"/>
  <c r="G1216" i="1"/>
  <c r="F1217" i="1"/>
  <c r="G1217" i="1"/>
  <c r="F1218" i="1"/>
  <c r="G1218" i="1"/>
  <c r="F1219" i="1"/>
  <c r="G1219" i="1"/>
  <c r="F1220" i="1"/>
  <c r="G1220" i="1"/>
  <c r="F1221" i="1"/>
  <c r="G1221" i="1"/>
  <c r="F1222" i="1"/>
  <c r="G1222" i="1"/>
  <c r="F1223" i="1"/>
  <c r="G1223" i="1"/>
  <c r="F1224" i="1"/>
  <c r="G1224" i="1"/>
  <c r="F1225" i="1"/>
  <c r="G1225" i="1"/>
  <c r="F1226" i="1"/>
  <c r="G1226" i="1"/>
  <c r="F1227" i="1"/>
  <c r="G1227" i="1"/>
  <c r="F1228" i="1"/>
  <c r="G1228" i="1"/>
  <c r="F1229" i="1"/>
  <c r="G1229" i="1"/>
  <c r="F1230" i="1"/>
  <c r="G1230" i="1"/>
  <c r="F1231" i="1"/>
  <c r="G1231" i="1"/>
  <c r="F1232" i="1"/>
  <c r="G1232" i="1"/>
  <c r="F1233" i="1"/>
  <c r="G1233" i="1"/>
  <c r="F1234" i="1"/>
  <c r="G1234" i="1"/>
  <c r="F1235" i="1"/>
  <c r="G1235" i="1"/>
  <c r="F1236" i="1"/>
  <c r="G1236" i="1"/>
  <c r="F1237" i="1"/>
  <c r="G1237" i="1"/>
  <c r="F1238" i="1"/>
  <c r="G1238" i="1"/>
  <c r="F1239" i="1"/>
  <c r="G1239" i="1"/>
  <c r="F1240" i="1"/>
  <c r="G1240" i="1"/>
  <c r="F1241" i="1"/>
  <c r="G1241" i="1"/>
  <c r="F1242" i="1"/>
  <c r="G1242" i="1"/>
  <c r="F1243" i="1"/>
  <c r="G1243" i="1"/>
  <c r="F1244" i="1"/>
  <c r="G1244" i="1"/>
  <c r="F1245" i="1"/>
  <c r="G1245" i="1"/>
  <c r="F1246" i="1"/>
  <c r="G1246" i="1"/>
  <c r="F1247" i="1"/>
  <c r="G1247" i="1"/>
  <c r="F1248" i="1"/>
  <c r="G1248" i="1"/>
  <c r="F1249" i="1"/>
  <c r="G1249" i="1"/>
  <c r="F1250" i="1"/>
  <c r="G1250" i="1"/>
  <c r="F1251" i="1"/>
  <c r="G1251" i="1"/>
  <c r="F1252" i="1"/>
  <c r="G1252" i="1"/>
  <c r="F1253" i="1"/>
  <c r="G1253" i="1"/>
  <c r="F1254" i="1"/>
  <c r="G1254" i="1"/>
  <c r="F1255" i="1"/>
  <c r="G1255" i="1"/>
  <c r="F1256" i="1"/>
  <c r="G1256" i="1"/>
  <c r="F1257" i="1"/>
  <c r="G1257" i="1"/>
  <c r="F1258" i="1"/>
  <c r="G1258" i="1"/>
  <c r="F1259" i="1"/>
  <c r="G1259" i="1"/>
  <c r="F1260" i="1"/>
  <c r="G1260" i="1"/>
  <c r="F1261" i="1"/>
  <c r="G1261" i="1"/>
  <c r="F1262" i="1"/>
  <c r="G1262" i="1"/>
  <c r="F1263" i="1"/>
  <c r="G1263" i="1"/>
  <c r="F1264" i="1"/>
  <c r="G1264" i="1"/>
  <c r="F1265" i="1"/>
  <c r="G1265" i="1"/>
  <c r="F1266" i="1"/>
  <c r="G1266" i="1"/>
  <c r="F1267" i="1"/>
  <c r="G1267" i="1"/>
  <c r="F1268" i="1"/>
  <c r="G1268" i="1"/>
  <c r="F1269" i="1"/>
  <c r="G1269" i="1"/>
  <c r="F1270" i="1"/>
  <c r="G1270" i="1"/>
  <c r="F1271" i="1"/>
  <c r="G1271" i="1"/>
  <c r="F1272" i="1"/>
  <c r="G1272" i="1"/>
  <c r="F1273" i="1"/>
  <c r="G1273" i="1"/>
  <c r="F1274" i="1"/>
  <c r="G1274" i="1"/>
  <c r="F1275" i="1"/>
  <c r="G1275" i="1"/>
  <c r="F1276" i="1"/>
  <c r="G1276" i="1"/>
  <c r="F1277" i="1"/>
  <c r="G1277" i="1"/>
  <c r="F1278" i="1"/>
  <c r="G1278" i="1"/>
  <c r="F1279" i="1"/>
  <c r="G1279" i="1"/>
  <c r="F1280" i="1"/>
  <c r="G1280" i="1"/>
  <c r="F1281" i="1"/>
  <c r="G1281" i="1"/>
  <c r="F1282" i="1"/>
  <c r="G1282" i="1"/>
  <c r="F1283" i="1"/>
  <c r="G1283" i="1"/>
  <c r="F1284" i="1"/>
  <c r="G1284" i="1"/>
  <c r="F1285" i="1"/>
  <c r="G1285" i="1"/>
  <c r="F1286" i="1"/>
  <c r="G1286" i="1"/>
  <c r="F1287" i="1"/>
  <c r="G1287" i="1"/>
  <c r="F1288" i="1"/>
  <c r="G1288" i="1"/>
  <c r="F1289" i="1"/>
  <c r="G1289" i="1"/>
  <c r="F1290" i="1"/>
  <c r="G1290" i="1"/>
  <c r="F1291" i="1"/>
  <c r="G1291" i="1"/>
  <c r="F1292" i="1"/>
  <c r="G1292" i="1"/>
  <c r="F1293" i="1"/>
  <c r="G1293" i="1"/>
  <c r="F1294" i="1"/>
  <c r="G1294" i="1"/>
  <c r="F1295" i="1"/>
  <c r="G1295" i="1"/>
  <c r="F1296" i="1"/>
  <c r="G1296" i="1"/>
  <c r="F1297" i="1"/>
  <c r="G1297" i="1"/>
  <c r="F1298" i="1"/>
  <c r="G1298" i="1"/>
  <c r="F1299" i="1"/>
  <c r="G1299" i="1"/>
  <c r="F1300" i="1"/>
  <c r="G1300" i="1"/>
  <c r="F1301" i="1"/>
  <c r="G1301" i="1"/>
  <c r="F1302" i="1"/>
  <c r="G1302" i="1"/>
  <c r="F1303" i="1"/>
  <c r="G1303" i="1"/>
  <c r="F1304" i="1"/>
  <c r="G1304" i="1"/>
  <c r="F1305" i="1"/>
  <c r="G1305" i="1"/>
  <c r="F1306" i="1"/>
  <c r="G1306" i="1"/>
  <c r="F1307" i="1"/>
  <c r="G1307" i="1"/>
  <c r="F1308" i="1"/>
  <c r="G1308" i="1"/>
  <c r="F1309" i="1"/>
  <c r="G1309" i="1"/>
  <c r="F1310" i="1"/>
  <c r="G1310" i="1"/>
  <c r="F1311" i="1"/>
  <c r="G1311" i="1"/>
  <c r="F1312" i="1"/>
  <c r="G1312" i="1"/>
  <c r="F1313" i="1"/>
  <c r="G1313" i="1"/>
  <c r="F1314" i="1"/>
  <c r="G1314" i="1"/>
  <c r="F1315" i="1"/>
  <c r="G1315" i="1"/>
  <c r="F1316" i="1"/>
  <c r="G1316" i="1"/>
  <c r="F1317" i="1"/>
  <c r="G1317" i="1"/>
  <c r="F1318" i="1"/>
  <c r="G1318" i="1"/>
  <c r="F1319" i="1"/>
  <c r="G1319" i="1"/>
  <c r="F1320" i="1"/>
  <c r="G1320" i="1"/>
  <c r="F1321" i="1"/>
  <c r="G1321" i="1"/>
  <c r="F1322" i="1"/>
  <c r="G1322" i="1"/>
  <c r="F1323" i="1"/>
  <c r="G1323" i="1"/>
  <c r="F1324" i="1"/>
  <c r="G1324" i="1"/>
  <c r="F1325" i="1"/>
  <c r="G1325" i="1"/>
  <c r="F1326" i="1"/>
  <c r="G1326" i="1"/>
  <c r="F1327" i="1"/>
  <c r="G1327" i="1"/>
  <c r="F1328" i="1"/>
  <c r="G1328" i="1"/>
  <c r="F1329" i="1"/>
  <c r="G1329" i="1"/>
  <c r="F1330" i="1"/>
  <c r="G1330" i="1"/>
  <c r="F1331" i="1"/>
  <c r="G1331" i="1"/>
  <c r="F1332" i="1"/>
  <c r="G1332" i="1"/>
  <c r="F1333" i="1"/>
  <c r="G1333" i="1"/>
  <c r="F1334" i="1"/>
  <c r="G1334" i="1"/>
  <c r="F1335" i="1"/>
  <c r="G1335" i="1"/>
  <c r="F1336" i="1"/>
  <c r="G1336" i="1"/>
  <c r="F1337" i="1"/>
  <c r="G1337" i="1"/>
  <c r="F1338" i="1"/>
  <c r="G1338" i="1"/>
  <c r="F1339" i="1"/>
  <c r="G1339" i="1"/>
  <c r="F1340" i="1"/>
  <c r="G1340" i="1"/>
  <c r="F1341" i="1"/>
  <c r="G1341" i="1"/>
  <c r="F1342" i="1"/>
  <c r="G1342" i="1"/>
  <c r="F1343" i="1"/>
  <c r="G1343" i="1"/>
  <c r="F1344" i="1"/>
  <c r="G1344" i="1"/>
  <c r="F1345" i="1"/>
  <c r="G1345" i="1"/>
  <c r="F1346" i="1"/>
  <c r="G1346" i="1"/>
  <c r="F1347" i="1"/>
  <c r="G1347" i="1"/>
  <c r="F1348" i="1"/>
  <c r="G1348" i="1"/>
  <c r="F1349" i="1"/>
  <c r="G1349" i="1"/>
  <c r="F1350" i="1"/>
  <c r="G1350" i="1"/>
  <c r="F1351" i="1"/>
  <c r="G1351" i="1"/>
  <c r="F1352" i="1"/>
  <c r="G1352" i="1"/>
  <c r="F1353" i="1"/>
  <c r="G1353" i="1"/>
  <c r="F1354" i="1"/>
  <c r="G1354" i="1"/>
  <c r="F1355" i="1"/>
  <c r="G1355" i="1"/>
  <c r="F1356" i="1"/>
  <c r="G1356" i="1"/>
  <c r="F1357" i="1"/>
  <c r="G1357" i="1"/>
  <c r="F1358" i="1"/>
  <c r="G1358" i="1"/>
  <c r="F1359" i="1"/>
  <c r="G1359" i="1"/>
  <c r="F1360" i="1"/>
  <c r="G1360" i="1"/>
  <c r="F1361" i="1"/>
  <c r="G1361" i="1"/>
  <c r="F1362" i="1"/>
  <c r="G1362" i="1"/>
  <c r="F1363" i="1"/>
  <c r="G1363" i="1"/>
  <c r="F1364" i="1"/>
  <c r="G1364" i="1"/>
  <c r="F1365" i="1"/>
  <c r="G1365" i="1"/>
  <c r="F1366" i="1"/>
  <c r="G1366" i="1"/>
  <c r="F1367" i="1"/>
  <c r="G1367" i="1"/>
  <c r="F1368" i="1"/>
  <c r="G1368" i="1"/>
  <c r="F1369" i="1"/>
  <c r="G1369" i="1"/>
  <c r="F1370" i="1"/>
  <c r="G1370" i="1"/>
  <c r="F1371" i="1"/>
  <c r="G1371" i="1"/>
  <c r="F1372" i="1"/>
  <c r="G1372" i="1"/>
  <c r="F1373" i="1"/>
  <c r="G1373" i="1"/>
  <c r="F1374" i="1"/>
  <c r="G1374" i="1"/>
  <c r="F1375" i="1"/>
  <c r="G1375" i="1"/>
  <c r="F1376" i="1"/>
  <c r="G1376" i="1"/>
  <c r="F1377" i="1"/>
  <c r="G1377" i="1"/>
  <c r="F1378" i="1"/>
  <c r="G1378" i="1"/>
  <c r="F1379" i="1"/>
  <c r="G1379" i="1"/>
  <c r="F1380" i="1"/>
  <c r="G1380" i="1"/>
  <c r="F1381" i="1"/>
  <c r="G1381" i="1"/>
  <c r="F1382" i="1"/>
  <c r="G1382" i="1"/>
  <c r="F1383" i="1"/>
  <c r="G1383" i="1"/>
  <c r="F1384" i="1"/>
  <c r="G1384" i="1"/>
  <c r="F1385" i="1"/>
  <c r="G1385" i="1"/>
  <c r="F1386" i="1"/>
  <c r="G1386" i="1"/>
  <c r="F1387" i="1"/>
  <c r="G1387" i="1"/>
  <c r="F1388" i="1"/>
  <c r="G1388" i="1"/>
  <c r="F1389" i="1"/>
  <c r="G1389" i="1"/>
  <c r="F1390" i="1"/>
  <c r="G1390" i="1"/>
  <c r="F1391" i="1"/>
  <c r="G1391" i="1"/>
  <c r="F1392" i="1"/>
  <c r="G1392" i="1"/>
  <c r="F1393" i="1"/>
  <c r="G1393" i="1"/>
  <c r="F1394" i="1"/>
  <c r="G1394" i="1"/>
  <c r="F1395" i="1"/>
  <c r="G1395" i="1"/>
  <c r="F1396" i="1"/>
  <c r="G1396" i="1"/>
  <c r="F1397" i="1"/>
  <c r="G1397" i="1"/>
  <c r="F1398" i="1"/>
  <c r="G1398" i="1"/>
  <c r="F1399" i="1"/>
  <c r="G1399" i="1"/>
  <c r="F1400" i="1"/>
  <c r="G1400" i="1"/>
  <c r="F1401" i="1"/>
  <c r="G1401" i="1"/>
  <c r="F1402" i="1"/>
  <c r="G1402" i="1"/>
  <c r="F1403" i="1"/>
  <c r="G1403" i="1"/>
  <c r="F1404" i="1"/>
  <c r="G1404" i="1"/>
  <c r="F1405" i="1"/>
  <c r="G1405" i="1"/>
  <c r="F1406" i="1"/>
  <c r="G1406" i="1"/>
  <c r="F1407" i="1"/>
  <c r="G1407" i="1"/>
  <c r="F1408" i="1"/>
  <c r="G1408" i="1"/>
  <c r="F1409" i="1"/>
  <c r="G1409" i="1"/>
  <c r="F1410" i="1"/>
  <c r="G1410" i="1"/>
  <c r="F1411" i="1"/>
  <c r="G1411" i="1"/>
  <c r="F1412" i="1"/>
  <c r="G1412" i="1"/>
  <c r="F1413" i="1"/>
  <c r="G1413" i="1"/>
  <c r="F1414" i="1"/>
  <c r="G1414" i="1"/>
  <c r="F1415" i="1"/>
  <c r="G1415" i="1"/>
  <c r="F1416" i="1"/>
  <c r="G1416" i="1"/>
  <c r="F1417" i="1"/>
  <c r="G1417" i="1"/>
  <c r="F1418" i="1"/>
  <c r="G1418" i="1"/>
  <c r="F1419" i="1"/>
  <c r="G1419" i="1"/>
  <c r="F1420" i="1"/>
  <c r="G1420" i="1"/>
  <c r="F1421" i="1"/>
  <c r="G1421" i="1"/>
  <c r="F1422" i="1"/>
  <c r="G1422" i="1"/>
  <c r="F1423" i="1"/>
  <c r="G1423" i="1"/>
  <c r="F1424" i="1"/>
  <c r="G1424" i="1"/>
  <c r="F1425" i="1"/>
  <c r="G1425" i="1"/>
  <c r="F1426" i="1"/>
  <c r="G1426" i="1"/>
  <c r="F1427" i="1"/>
  <c r="G1427" i="1"/>
  <c r="F1428" i="1"/>
  <c r="G1428" i="1"/>
  <c r="F1429" i="1"/>
  <c r="G1429" i="1"/>
  <c r="F1430" i="1"/>
  <c r="G1430" i="1"/>
  <c r="F1431" i="1"/>
  <c r="G1431" i="1"/>
  <c r="F1432" i="1"/>
  <c r="G1432" i="1"/>
  <c r="F1433" i="1"/>
  <c r="G1433" i="1"/>
  <c r="F1434" i="1"/>
  <c r="G1434" i="1"/>
  <c r="F1435" i="1"/>
  <c r="G1435" i="1"/>
  <c r="F1436" i="1"/>
  <c r="G1436" i="1"/>
  <c r="F1437" i="1"/>
  <c r="G1437" i="1"/>
  <c r="F1438" i="1"/>
  <c r="G1438" i="1"/>
  <c r="F1439" i="1"/>
  <c r="G1439" i="1"/>
  <c r="F1440" i="1"/>
  <c r="G1440" i="1"/>
  <c r="F1441" i="1"/>
  <c r="G1441" i="1"/>
  <c r="F1442" i="1"/>
  <c r="G1442" i="1"/>
  <c r="F1443" i="1"/>
  <c r="G1443" i="1"/>
  <c r="F1444" i="1"/>
  <c r="G1444" i="1"/>
  <c r="F1445" i="1"/>
  <c r="G1445" i="1"/>
  <c r="F1446" i="1"/>
  <c r="G1446" i="1"/>
  <c r="F1447" i="1"/>
  <c r="G1447" i="1"/>
  <c r="F1448" i="1"/>
  <c r="G1448" i="1"/>
  <c r="F1449" i="1"/>
  <c r="G1449" i="1"/>
  <c r="F1450" i="1"/>
  <c r="G1450" i="1"/>
  <c r="F1451" i="1"/>
  <c r="G1451" i="1"/>
  <c r="F1452" i="1"/>
  <c r="G1452" i="1"/>
  <c r="F1453" i="1"/>
  <c r="G1453" i="1"/>
  <c r="F1454" i="1"/>
  <c r="G1454" i="1"/>
  <c r="F1455" i="1"/>
  <c r="G1455" i="1"/>
  <c r="F1456" i="1"/>
  <c r="G1456" i="1"/>
  <c r="F1457" i="1"/>
  <c r="G1457" i="1"/>
  <c r="F1458" i="1"/>
  <c r="G1458" i="1"/>
  <c r="F1459" i="1"/>
  <c r="G1459" i="1"/>
  <c r="F1460" i="1"/>
  <c r="G1460" i="1"/>
  <c r="F1461" i="1"/>
  <c r="G1461" i="1"/>
  <c r="F1462" i="1"/>
  <c r="G1462" i="1"/>
  <c r="F1463" i="1"/>
  <c r="G1463" i="1"/>
  <c r="F1464" i="1"/>
  <c r="G1464" i="1"/>
  <c r="F1465" i="1"/>
  <c r="G1465" i="1"/>
  <c r="F1466" i="1"/>
  <c r="G1466" i="1"/>
  <c r="F1467" i="1"/>
  <c r="G1467" i="1"/>
  <c r="F1468" i="1"/>
  <c r="G1468" i="1"/>
  <c r="F1469" i="1"/>
  <c r="G1469" i="1"/>
  <c r="F1470" i="1"/>
  <c r="G1470" i="1"/>
  <c r="F1471" i="1"/>
  <c r="G1471" i="1"/>
  <c r="F1472" i="1"/>
  <c r="G1472" i="1"/>
  <c r="F1473" i="1"/>
  <c r="G1473" i="1"/>
  <c r="F1474" i="1"/>
  <c r="G1474" i="1"/>
  <c r="F1475" i="1"/>
  <c r="G1475" i="1"/>
  <c r="F1476" i="1"/>
  <c r="G1476" i="1"/>
  <c r="F1477" i="1"/>
  <c r="G1477" i="1"/>
  <c r="F1478" i="1"/>
  <c r="G1478" i="1"/>
  <c r="F1479" i="1"/>
  <c r="G1479" i="1"/>
  <c r="F1480" i="1"/>
  <c r="G1480" i="1"/>
  <c r="F1481" i="1"/>
  <c r="G1481" i="1"/>
  <c r="F1482" i="1"/>
  <c r="G1482" i="1"/>
  <c r="F1483" i="1"/>
  <c r="G1483" i="1"/>
  <c r="F1484" i="1"/>
  <c r="G1484" i="1"/>
  <c r="F1485" i="1"/>
  <c r="G1485" i="1"/>
  <c r="F1486" i="1"/>
  <c r="G1486" i="1"/>
  <c r="F1487" i="1"/>
  <c r="G1487" i="1"/>
  <c r="F1488" i="1"/>
  <c r="G1488" i="1"/>
  <c r="F1489" i="1"/>
  <c r="G1489" i="1"/>
  <c r="F1490" i="1"/>
  <c r="G1490" i="1"/>
  <c r="F1491" i="1"/>
  <c r="G1491" i="1"/>
  <c r="F1492" i="1"/>
  <c r="G1492" i="1"/>
  <c r="F1493" i="1"/>
  <c r="G1493" i="1"/>
  <c r="F1494" i="1"/>
  <c r="G1494" i="1"/>
  <c r="F1495" i="1"/>
  <c r="G1495" i="1"/>
  <c r="F1496" i="1"/>
  <c r="G1496" i="1"/>
  <c r="F1497" i="1"/>
  <c r="G1497" i="1"/>
  <c r="F1498" i="1"/>
  <c r="G1498" i="1"/>
  <c r="F1499" i="1"/>
  <c r="G1499" i="1"/>
  <c r="F1500" i="1"/>
  <c r="G1500" i="1"/>
  <c r="F1501" i="1"/>
  <c r="G1501" i="1"/>
  <c r="F1502" i="1"/>
  <c r="G1502" i="1"/>
  <c r="F1503" i="1"/>
  <c r="G1503" i="1"/>
  <c r="F1504" i="1"/>
  <c r="G1504" i="1"/>
  <c r="F1505" i="1"/>
  <c r="G1505" i="1"/>
  <c r="F1506" i="1"/>
  <c r="G1506" i="1"/>
  <c r="F1507" i="1"/>
  <c r="G1507" i="1"/>
  <c r="F1508" i="1"/>
  <c r="G1508" i="1"/>
  <c r="F1509" i="1"/>
  <c r="G1509" i="1"/>
  <c r="F1510" i="1"/>
  <c r="G1510" i="1"/>
  <c r="F1511" i="1"/>
  <c r="G1511" i="1"/>
  <c r="F1512" i="1"/>
  <c r="G1512" i="1"/>
  <c r="F1513" i="1"/>
  <c r="G1513" i="1"/>
  <c r="F1514" i="1"/>
  <c r="G1514" i="1"/>
  <c r="F1515" i="1"/>
  <c r="G1515" i="1"/>
  <c r="F1516" i="1"/>
  <c r="G1516" i="1"/>
  <c r="F1517" i="1"/>
  <c r="G1517" i="1"/>
  <c r="F1518" i="1"/>
  <c r="G1518" i="1"/>
  <c r="F1519" i="1"/>
  <c r="G1519" i="1"/>
  <c r="F1520" i="1"/>
  <c r="G1520" i="1"/>
  <c r="F1521" i="1"/>
  <c r="G1521" i="1"/>
  <c r="F1522" i="1"/>
  <c r="G1522" i="1"/>
  <c r="F1523" i="1"/>
  <c r="G1523" i="1"/>
  <c r="G2" i="1"/>
  <c r="F2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2" i="2"/>
  <c r="E5" i="3" l="1"/>
  <c r="F6" i="3" s="1"/>
  <c r="G7" i="3" s="1"/>
  <c r="H8" i="3" s="1"/>
  <c r="I9" i="3" s="1"/>
  <c r="J10" i="3" s="1"/>
  <c r="K11" i="3" s="1"/>
  <c r="L12" i="3" s="1"/>
  <c r="M13" i="3" s="1"/>
  <c r="N14" i="3" s="1"/>
  <c r="O15" i="3" s="1"/>
  <c r="P16" i="3" s="1"/>
  <c r="AD4" i="3"/>
  <c r="E16" i="3"/>
  <c r="F17" i="3" s="1"/>
  <c r="G18" i="3" s="1"/>
  <c r="H19" i="3" s="1"/>
  <c r="I20" i="3" s="1"/>
  <c r="J21" i="3" s="1"/>
  <c r="K22" i="3" s="1"/>
  <c r="L23" i="3" s="1"/>
  <c r="M24" i="3" s="1"/>
  <c r="N25" i="3" s="1"/>
  <c r="O26" i="3" s="1"/>
  <c r="P27" i="3" s="1"/>
  <c r="AD15" i="3"/>
  <c r="E4" i="3"/>
  <c r="F5" i="3" s="1"/>
  <c r="G6" i="3" s="1"/>
  <c r="H7" i="3" s="1"/>
  <c r="I8" i="3" s="1"/>
  <c r="J9" i="3" s="1"/>
  <c r="K10" i="3" s="1"/>
  <c r="L11" i="3" s="1"/>
  <c r="M12" i="3" s="1"/>
  <c r="N13" i="3" s="1"/>
  <c r="O14" i="3" s="1"/>
  <c r="P15" i="3" s="1"/>
  <c r="AD3" i="3"/>
  <c r="A5" i="3"/>
  <c r="A27" i="3"/>
  <c r="A16" i="3"/>
  <c r="C15" i="3"/>
  <c r="AD2" i="3"/>
  <c r="C4" i="3"/>
  <c r="E3" i="3"/>
  <c r="F4" i="3" s="1"/>
  <c r="G5" i="3" s="1"/>
  <c r="H6" i="3" s="1"/>
  <c r="I7" i="3" s="1"/>
  <c r="J8" i="3" s="1"/>
  <c r="K9" i="3" s="1"/>
  <c r="L10" i="3" s="1"/>
  <c r="M11" i="3" s="1"/>
  <c r="N12" i="3" s="1"/>
  <c r="O13" i="3" s="1"/>
  <c r="P14" i="3" s="1"/>
  <c r="B17" i="3"/>
  <c r="B112" i="3"/>
  <c r="B6" i="3"/>
  <c r="D5" i="3"/>
  <c r="A6" i="3" l="1"/>
  <c r="A17" i="3"/>
  <c r="A29" i="3" s="1"/>
  <c r="A41" i="3" s="1"/>
  <c r="A53" i="3" s="1"/>
  <c r="A65" i="3" s="1"/>
  <c r="A77" i="3" s="1"/>
  <c r="A89" i="3" s="1"/>
  <c r="A101" i="3" s="1"/>
  <c r="A113" i="3" s="1"/>
  <c r="E6" i="3"/>
  <c r="F7" i="3" s="1"/>
  <c r="G8" i="3" s="1"/>
  <c r="H9" i="3" s="1"/>
  <c r="I10" i="3" s="1"/>
  <c r="J11" i="3" s="1"/>
  <c r="K12" i="3" s="1"/>
  <c r="L13" i="3" s="1"/>
  <c r="M14" i="3" s="1"/>
  <c r="N15" i="3" s="1"/>
  <c r="O16" i="3" s="1"/>
  <c r="P17" i="3" s="1"/>
  <c r="AD5" i="3"/>
  <c r="A28" i="3"/>
  <c r="D16" i="3"/>
  <c r="C16" i="3"/>
  <c r="C17" i="3"/>
  <c r="C6" i="3"/>
  <c r="C27" i="3"/>
  <c r="A39" i="3"/>
  <c r="D27" i="3"/>
  <c r="C5" i="3"/>
  <c r="D17" i="3"/>
  <c r="B29" i="3"/>
  <c r="C29" i="3" s="1"/>
  <c r="B7" i="3"/>
  <c r="B18" i="3"/>
  <c r="D6" i="3"/>
  <c r="B41" i="3"/>
  <c r="C41" i="3" s="1"/>
  <c r="E28" i="3" l="1"/>
  <c r="F29" i="3" s="1"/>
  <c r="G30" i="3" s="1"/>
  <c r="H31" i="3" s="1"/>
  <c r="I32" i="3" s="1"/>
  <c r="J33" i="3" s="1"/>
  <c r="K34" i="3" s="1"/>
  <c r="L35" i="3" s="1"/>
  <c r="M36" i="3" s="1"/>
  <c r="N37" i="3" s="1"/>
  <c r="O38" i="3" s="1"/>
  <c r="P39" i="3" s="1"/>
  <c r="AD27" i="3"/>
  <c r="A7" i="3"/>
  <c r="A18" i="3"/>
  <c r="A30" i="3" s="1"/>
  <c r="A42" i="3" s="1"/>
  <c r="A54" i="3" s="1"/>
  <c r="A66" i="3" s="1"/>
  <c r="A78" i="3" s="1"/>
  <c r="A90" i="3" s="1"/>
  <c r="A102" i="3" s="1"/>
  <c r="A114" i="3" s="1"/>
  <c r="E7" i="3"/>
  <c r="F8" i="3" s="1"/>
  <c r="G9" i="3" s="1"/>
  <c r="H10" i="3" s="1"/>
  <c r="I11" i="3" s="1"/>
  <c r="J12" i="3" s="1"/>
  <c r="K13" i="3" s="1"/>
  <c r="L14" i="3" s="1"/>
  <c r="M15" i="3" s="1"/>
  <c r="N16" i="3" s="1"/>
  <c r="O17" i="3" s="1"/>
  <c r="P18" i="3" s="1"/>
  <c r="AD6" i="3"/>
  <c r="D39" i="3"/>
  <c r="C39" i="3"/>
  <c r="A51" i="3"/>
  <c r="E17" i="3"/>
  <c r="F18" i="3" s="1"/>
  <c r="G19" i="3" s="1"/>
  <c r="H20" i="3" s="1"/>
  <c r="I21" i="3" s="1"/>
  <c r="J22" i="3" s="1"/>
  <c r="K23" i="3" s="1"/>
  <c r="L24" i="3" s="1"/>
  <c r="M25" i="3" s="1"/>
  <c r="N26" i="3" s="1"/>
  <c r="O27" i="3" s="1"/>
  <c r="P28" i="3" s="1"/>
  <c r="AD16" i="3"/>
  <c r="C18" i="3"/>
  <c r="E18" i="3"/>
  <c r="F19" i="3" s="1"/>
  <c r="G20" i="3" s="1"/>
  <c r="H21" i="3" s="1"/>
  <c r="I22" i="3" s="1"/>
  <c r="J23" i="3" s="1"/>
  <c r="K24" i="3" s="1"/>
  <c r="L25" i="3" s="1"/>
  <c r="M26" i="3" s="1"/>
  <c r="N27" i="3" s="1"/>
  <c r="O28" i="3" s="1"/>
  <c r="P29" i="3" s="1"/>
  <c r="AD17" i="3"/>
  <c r="D29" i="3"/>
  <c r="C7" i="3"/>
  <c r="D28" i="3"/>
  <c r="C28" i="3"/>
  <c r="A40" i="3"/>
  <c r="D18" i="3"/>
  <c r="B30" i="3"/>
  <c r="C30" i="3" s="1"/>
  <c r="B53" i="3"/>
  <c r="C53" i="3" s="1"/>
  <c r="D41" i="3"/>
  <c r="B8" i="3"/>
  <c r="B19" i="3"/>
  <c r="D7" i="3"/>
  <c r="E8" i="3" l="1"/>
  <c r="F9" i="3" s="1"/>
  <c r="G10" i="3" s="1"/>
  <c r="H11" i="3" s="1"/>
  <c r="I12" i="3" s="1"/>
  <c r="J13" i="3" s="1"/>
  <c r="K14" i="3" s="1"/>
  <c r="L15" i="3" s="1"/>
  <c r="M16" i="3" s="1"/>
  <c r="N17" i="3" s="1"/>
  <c r="O18" i="3" s="1"/>
  <c r="P19" i="3" s="1"/>
  <c r="AD7" i="3"/>
  <c r="A52" i="3"/>
  <c r="D40" i="3"/>
  <c r="C40" i="3"/>
  <c r="C51" i="3"/>
  <c r="D51" i="3"/>
  <c r="A63" i="3"/>
  <c r="E42" i="3"/>
  <c r="F43" i="3" s="1"/>
  <c r="G44" i="3" s="1"/>
  <c r="H45" i="3" s="1"/>
  <c r="I46" i="3" s="1"/>
  <c r="J47" i="3" s="1"/>
  <c r="K48" i="3" s="1"/>
  <c r="L49" i="3" s="1"/>
  <c r="M50" i="3" s="1"/>
  <c r="N51" i="3" s="1"/>
  <c r="O52" i="3" s="1"/>
  <c r="P53" i="3" s="1"/>
  <c r="AD41" i="3"/>
  <c r="E19" i="3"/>
  <c r="F20" i="3" s="1"/>
  <c r="G21" i="3" s="1"/>
  <c r="H22" i="3" s="1"/>
  <c r="I23" i="3" s="1"/>
  <c r="J24" i="3" s="1"/>
  <c r="K25" i="3" s="1"/>
  <c r="L26" i="3" s="1"/>
  <c r="M27" i="3" s="1"/>
  <c r="N28" i="3" s="1"/>
  <c r="O29" i="3" s="1"/>
  <c r="P30" i="3" s="1"/>
  <c r="AD18" i="3"/>
  <c r="E29" i="3"/>
  <c r="F30" i="3" s="1"/>
  <c r="G31" i="3" s="1"/>
  <c r="H32" i="3" s="1"/>
  <c r="I33" i="3" s="1"/>
  <c r="J34" i="3" s="1"/>
  <c r="K35" i="3" s="1"/>
  <c r="L36" i="3" s="1"/>
  <c r="M37" i="3" s="1"/>
  <c r="N38" i="3" s="1"/>
  <c r="O39" i="3" s="1"/>
  <c r="P40" i="3" s="1"/>
  <c r="AD28" i="3"/>
  <c r="E40" i="3"/>
  <c r="F41" i="3" s="1"/>
  <c r="G42" i="3" s="1"/>
  <c r="H43" i="3" s="1"/>
  <c r="I44" i="3" s="1"/>
  <c r="J45" i="3" s="1"/>
  <c r="K46" i="3" s="1"/>
  <c r="L47" i="3" s="1"/>
  <c r="M48" i="3" s="1"/>
  <c r="N49" i="3" s="1"/>
  <c r="O50" i="3" s="1"/>
  <c r="P51" i="3" s="1"/>
  <c r="AD39" i="3"/>
  <c r="A8" i="3"/>
  <c r="A19" i="3"/>
  <c r="A31" i="3" s="1"/>
  <c r="A43" i="3" s="1"/>
  <c r="A55" i="3" s="1"/>
  <c r="A67" i="3" s="1"/>
  <c r="A79" i="3" s="1"/>
  <c r="A91" i="3" s="1"/>
  <c r="A103" i="3" s="1"/>
  <c r="A115" i="3" s="1"/>
  <c r="E30" i="3"/>
  <c r="F31" i="3" s="1"/>
  <c r="G32" i="3" s="1"/>
  <c r="H33" i="3" s="1"/>
  <c r="I34" i="3" s="1"/>
  <c r="J35" i="3" s="1"/>
  <c r="K36" i="3" s="1"/>
  <c r="L37" i="3" s="1"/>
  <c r="M38" i="3" s="1"/>
  <c r="N39" i="3" s="1"/>
  <c r="O40" i="3" s="1"/>
  <c r="P41" i="3" s="1"/>
  <c r="AD29" i="3"/>
  <c r="D53" i="3"/>
  <c r="B65" i="3"/>
  <c r="C65" i="3" s="1"/>
  <c r="D19" i="3"/>
  <c r="B31" i="3"/>
  <c r="C31" i="3" s="1"/>
  <c r="B9" i="3"/>
  <c r="B20" i="3"/>
  <c r="D8" i="3"/>
  <c r="D30" i="3"/>
  <c r="B42" i="3"/>
  <c r="C42" i="3" s="1"/>
  <c r="E9" i="3" l="1"/>
  <c r="F10" i="3" s="1"/>
  <c r="G11" i="3" s="1"/>
  <c r="H12" i="3" s="1"/>
  <c r="I13" i="3" s="1"/>
  <c r="J14" i="3" s="1"/>
  <c r="K15" i="3" s="1"/>
  <c r="L16" i="3" s="1"/>
  <c r="M17" i="3" s="1"/>
  <c r="N18" i="3" s="1"/>
  <c r="O19" i="3" s="1"/>
  <c r="P20" i="3" s="1"/>
  <c r="AD8" i="3"/>
  <c r="E20" i="3"/>
  <c r="F21" i="3" s="1"/>
  <c r="G22" i="3" s="1"/>
  <c r="H23" i="3" s="1"/>
  <c r="I24" i="3" s="1"/>
  <c r="J25" i="3" s="1"/>
  <c r="K26" i="3" s="1"/>
  <c r="L27" i="3" s="1"/>
  <c r="M28" i="3" s="1"/>
  <c r="N29" i="3" s="1"/>
  <c r="O30" i="3" s="1"/>
  <c r="P31" i="3" s="1"/>
  <c r="AD19" i="3"/>
  <c r="A9" i="3"/>
  <c r="A20" i="3"/>
  <c r="A32" i="3" s="1"/>
  <c r="A44" i="3" s="1"/>
  <c r="A56" i="3" s="1"/>
  <c r="A68" i="3" s="1"/>
  <c r="A80" i="3" s="1"/>
  <c r="A92" i="3" s="1"/>
  <c r="A104" i="3" s="1"/>
  <c r="A116" i="3" s="1"/>
  <c r="C20" i="3"/>
  <c r="C8" i="3"/>
  <c r="A75" i="3"/>
  <c r="D63" i="3"/>
  <c r="C63" i="3"/>
  <c r="D52" i="3"/>
  <c r="A64" i="3"/>
  <c r="C52" i="3"/>
  <c r="E54" i="3"/>
  <c r="F55" i="3" s="1"/>
  <c r="G56" i="3" s="1"/>
  <c r="H57" i="3" s="1"/>
  <c r="I58" i="3" s="1"/>
  <c r="J59" i="3" s="1"/>
  <c r="K60" i="3" s="1"/>
  <c r="L61" i="3" s="1"/>
  <c r="M62" i="3" s="1"/>
  <c r="N63" i="3" s="1"/>
  <c r="O64" i="3" s="1"/>
  <c r="P65" i="3" s="1"/>
  <c r="AD53" i="3"/>
  <c r="E52" i="3"/>
  <c r="F53" i="3" s="1"/>
  <c r="G54" i="3" s="1"/>
  <c r="H55" i="3" s="1"/>
  <c r="I56" i="3" s="1"/>
  <c r="J57" i="3" s="1"/>
  <c r="K58" i="3" s="1"/>
  <c r="L59" i="3" s="1"/>
  <c r="M60" i="3" s="1"/>
  <c r="N61" i="3" s="1"/>
  <c r="O62" i="3" s="1"/>
  <c r="P63" i="3" s="1"/>
  <c r="AD51" i="3"/>
  <c r="C19" i="3"/>
  <c r="E31" i="3"/>
  <c r="F32" i="3" s="1"/>
  <c r="G33" i="3" s="1"/>
  <c r="H34" i="3" s="1"/>
  <c r="I35" i="3" s="1"/>
  <c r="J36" i="3" s="1"/>
  <c r="K37" i="3" s="1"/>
  <c r="L38" i="3" s="1"/>
  <c r="M39" i="3" s="1"/>
  <c r="N40" i="3" s="1"/>
  <c r="O41" i="3" s="1"/>
  <c r="P42" i="3" s="1"/>
  <c r="AD30" i="3"/>
  <c r="C9" i="3"/>
  <c r="E41" i="3"/>
  <c r="F42" i="3" s="1"/>
  <c r="G43" i="3" s="1"/>
  <c r="H44" i="3" s="1"/>
  <c r="I45" i="3" s="1"/>
  <c r="J46" i="3" s="1"/>
  <c r="K47" i="3" s="1"/>
  <c r="L48" i="3" s="1"/>
  <c r="M49" i="3" s="1"/>
  <c r="N50" i="3" s="1"/>
  <c r="O51" i="3" s="1"/>
  <c r="P52" i="3" s="1"/>
  <c r="AD40" i="3"/>
  <c r="D42" i="3"/>
  <c r="B54" i="3"/>
  <c r="C54" i="3" s="1"/>
  <c r="B10" i="3"/>
  <c r="D9" i="3"/>
  <c r="AD9" i="3" s="1"/>
  <c r="B21" i="3"/>
  <c r="B43" i="3"/>
  <c r="C43" i="3" s="1"/>
  <c r="D31" i="3"/>
  <c r="D20" i="3"/>
  <c r="B32" i="3"/>
  <c r="C32" i="3" s="1"/>
  <c r="D65" i="3"/>
  <c r="B77" i="3"/>
  <c r="C77" i="3" s="1"/>
  <c r="E21" i="3" l="1"/>
  <c r="F22" i="3" s="1"/>
  <c r="G23" i="3" s="1"/>
  <c r="H24" i="3" s="1"/>
  <c r="I25" i="3" s="1"/>
  <c r="J26" i="3" s="1"/>
  <c r="K27" i="3" s="1"/>
  <c r="L28" i="3" s="1"/>
  <c r="M29" i="3" s="1"/>
  <c r="N30" i="3" s="1"/>
  <c r="O31" i="3" s="1"/>
  <c r="P32" i="3" s="1"/>
  <c r="AD20" i="3"/>
  <c r="E32" i="3"/>
  <c r="F33" i="3" s="1"/>
  <c r="G34" i="3" s="1"/>
  <c r="H35" i="3" s="1"/>
  <c r="I36" i="3" s="1"/>
  <c r="J37" i="3" s="1"/>
  <c r="K38" i="3" s="1"/>
  <c r="L39" i="3" s="1"/>
  <c r="M40" i="3" s="1"/>
  <c r="N41" i="3" s="1"/>
  <c r="O42" i="3" s="1"/>
  <c r="P43" i="3" s="1"/>
  <c r="AD31" i="3"/>
  <c r="D64" i="3"/>
  <c r="A76" i="3"/>
  <c r="C64" i="3"/>
  <c r="E64" i="3"/>
  <c r="F65" i="3" s="1"/>
  <c r="G66" i="3" s="1"/>
  <c r="H67" i="3" s="1"/>
  <c r="I68" i="3" s="1"/>
  <c r="J69" i="3" s="1"/>
  <c r="K70" i="3" s="1"/>
  <c r="L71" i="3" s="1"/>
  <c r="M72" i="3" s="1"/>
  <c r="N73" i="3" s="1"/>
  <c r="O74" i="3" s="1"/>
  <c r="P75" i="3" s="1"/>
  <c r="AD63" i="3"/>
  <c r="A10" i="3"/>
  <c r="A21" i="3"/>
  <c r="A33" i="3" s="1"/>
  <c r="A45" i="3" s="1"/>
  <c r="A57" i="3" s="1"/>
  <c r="A69" i="3" s="1"/>
  <c r="A81" i="3" s="1"/>
  <c r="A93" i="3" s="1"/>
  <c r="A105" i="3" s="1"/>
  <c r="A117" i="3" s="1"/>
  <c r="E53" i="3"/>
  <c r="F54" i="3" s="1"/>
  <c r="G55" i="3" s="1"/>
  <c r="H56" i="3" s="1"/>
  <c r="I57" i="3" s="1"/>
  <c r="J58" i="3" s="1"/>
  <c r="K59" i="3" s="1"/>
  <c r="L60" i="3" s="1"/>
  <c r="M61" i="3" s="1"/>
  <c r="N62" i="3" s="1"/>
  <c r="O63" i="3" s="1"/>
  <c r="P64" i="3" s="1"/>
  <c r="AD52" i="3"/>
  <c r="C75" i="3"/>
  <c r="D75" i="3"/>
  <c r="A87" i="3"/>
  <c r="E66" i="3"/>
  <c r="F67" i="3" s="1"/>
  <c r="G68" i="3" s="1"/>
  <c r="H69" i="3" s="1"/>
  <c r="I70" i="3" s="1"/>
  <c r="J71" i="3" s="1"/>
  <c r="K72" i="3" s="1"/>
  <c r="L73" i="3" s="1"/>
  <c r="M74" i="3" s="1"/>
  <c r="N75" i="3" s="1"/>
  <c r="O76" i="3" s="1"/>
  <c r="P77" i="3" s="1"/>
  <c r="AD65" i="3"/>
  <c r="C21" i="3"/>
  <c r="E43" i="3"/>
  <c r="F44" i="3" s="1"/>
  <c r="G45" i="3" s="1"/>
  <c r="H46" i="3" s="1"/>
  <c r="I47" i="3" s="1"/>
  <c r="J48" i="3" s="1"/>
  <c r="K49" i="3" s="1"/>
  <c r="L50" i="3" s="1"/>
  <c r="M51" i="3" s="1"/>
  <c r="N52" i="3" s="1"/>
  <c r="O53" i="3" s="1"/>
  <c r="P54" i="3" s="1"/>
  <c r="AD42" i="3"/>
  <c r="E10" i="3"/>
  <c r="F11" i="3" s="1"/>
  <c r="G12" i="3" s="1"/>
  <c r="H13" i="3" s="1"/>
  <c r="I14" i="3" s="1"/>
  <c r="J15" i="3" s="1"/>
  <c r="K16" i="3" s="1"/>
  <c r="L17" i="3" s="1"/>
  <c r="M18" i="3" s="1"/>
  <c r="N19" i="3" s="1"/>
  <c r="O20" i="3" s="1"/>
  <c r="P21" i="3" s="1"/>
  <c r="B44" i="3"/>
  <c r="C44" i="3" s="1"/>
  <c r="D32" i="3"/>
  <c r="D21" i="3"/>
  <c r="B33" i="3"/>
  <c r="C33" i="3" s="1"/>
  <c r="B11" i="3"/>
  <c r="B22" i="3"/>
  <c r="D10" i="3"/>
  <c r="D77" i="3"/>
  <c r="B89" i="3"/>
  <c r="C89" i="3" s="1"/>
  <c r="D43" i="3"/>
  <c r="B55" i="3"/>
  <c r="C55" i="3" s="1"/>
  <c r="D54" i="3"/>
  <c r="B66" i="3"/>
  <c r="C66" i="3" s="1"/>
  <c r="E22" i="3" l="1"/>
  <c r="F23" i="3" s="1"/>
  <c r="G24" i="3" s="1"/>
  <c r="H25" i="3" s="1"/>
  <c r="I26" i="3" s="1"/>
  <c r="J27" i="3" s="1"/>
  <c r="K28" i="3" s="1"/>
  <c r="L29" i="3" s="1"/>
  <c r="M30" i="3" s="1"/>
  <c r="N31" i="3" s="1"/>
  <c r="O32" i="3" s="1"/>
  <c r="P33" i="3" s="1"/>
  <c r="AD21" i="3"/>
  <c r="E76" i="3"/>
  <c r="F77" i="3" s="1"/>
  <c r="G78" i="3" s="1"/>
  <c r="H79" i="3" s="1"/>
  <c r="I80" i="3" s="1"/>
  <c r="J81" i="3" s="1"/>
  <c r="K82" i="3" s="1"/>
  <c r="L83" i="3" s="1"/>
  <c r="M84" i="3" s="1"/>
  <c r="N85" i="3" s="1"/>
  <c r="O86" i="3" s="1"/>
  <c r="P87" i="3" s="1"/>
  <c r="AD75" i="3"/>
  <c r="E11" i="3"/>
  <c r="F12" i="3" s="1"/>
  <c r="G13" i="3" s="1"/>
  <c r="H14" i="3" s="1"/>
  <c r="I15" i="3" s="1"/>
  <c r="J16" i="3" s="1"/>
  <c r="K17" i="3" s="1"/>
  <c r="L18" i="3" s="1"/>
  <c r="M19" i="3" s="1"/>
  <c r="N20" i="3" s="1"/>
  <c r="O21" i="3" s="1"/>
  <c r="P22" i="3" s="1"/>
  <c r="AD10" i="3"/>
  <c r="E33" i="3"/>
  <c r="F34" i="3" s="1"/>
  <c r="G35" i="3" s="1"/>
  <c r="H36" i="3" s="1"/>
  <c r="I37" i="3" s="1"/>
  <c r="J38" i="3" s="1"/>
  <c r="K39" i="3" s="1"/>
  <c r="L40" i="3" s="1"/>
  <c r="M41" i="3" s="1"/>
  <c r="N42" i="3" s="1"/>
  <c r="O43" i="3" s="1"/>
  <c r="P44" i="3" s="1"/>
  <c r="AD32" i="3"/>
  <c r="A11" i="3"/>
  <c r="A22" i="3"/>
  <c r="A34" i="3" s="1"/>
  <c r="A46" i="3" s="1"/>
  <c r="A58" i="3" s="1"/>
  <c r="A70" i="3" s="1"/>
  <c r="A82" i="3" s="1"/>
  <c r="A94" i="3" s="1"/>
  <c r="A106" i="3" s="1"/>
  <c r="A118" i="3" s="1"/>
  <c r="D76" i="3"/>
  <c r="A88" i="3"/>
  <c r="C76" i="3"/>
  <c r="E44" i="3"/>
  <c r="F45" i="3" s="1"/>
  <c r="G46" i="3" s="1"/>
  <c r="H47" i="3" s="1"/>
  <c r="I48" i="3" s="1"/>
  <c r="J49" i="3" s="1"/>
  <c r="K50" i="3" s="1"/>
  <c r="L51" i="3" s="1"/>
  <c r="M52" i="3" s="1"/>
  <c r="N53" i="3" s="1"/>
  <c r="O54" i="3" s="1"/>
  <c r="P55" i="3" s="1"/>
  <c r="AD43" i="3"/>
  <c r="C22" i="3"/>
  <c r="C11" i="3"/>
  <c r="E65" i="3"/>
  <c r="F66" i="3" s="1"/>
  <c r="G67" i="3" s="1"/>
  <c r="H68" i="3" s="1"/>
  <c r="I69" i="3" s="1"/>
  <c r="J70" i="3" s="1"/>
  <c r="K71" i="3" s="1"/>
  <c r="L72" i="3" s="1"/>
  <c r="M73" i="3" s="1"/>
  <c r="N74" i="3" s="1"/>
  <c r="O75" i="3" s="1"/>
  <c r="P76" i="3" s="1"/>
  <c r="AD64" i="3"/>
  <c r="E55" i="3"/>
  <c r="F56" i="3" s="1"/>
  <c r="G57" i="3" s="1"/>
  <c r="H58" i="3" s="1"/>
  <c r="I59" i="3" s="1"/>
  <c r="J60" i="3" s="1"/>
  <c r="K61" i="3" s="1"/>
  <c r="L62" i="3" s="1"/>
  <c r="M63" i="3" s="1"/>
  <c r="N64" i="3" s="1"/>
  <c r="O65" i="3" s="1"/>
  <c r="P66" i="3" s="1"/>
  <c r="AD54" i="3"/>
  <c r="E78" i="3"/>
  <c r="F79" i="3" s="1"/>
  <c r="G80" i="3" s="1"/>
  <c r="H81" i="3" s="1"/>
  <c r="I82" i="3" s="1"/>
  <c r="J83" i="3" s="1"/>
  <c r="K84" i="3" s="1"/>
  <c r="L85" i="3" s="1"/>
  <c r="M86" i="3" s="1"/>
  <c r="N87" i="3" s="1"/>
  <c r="O88" i="3" s="1"/>
  <c r="P89" i="3" s="1"/>
  <c r="AD77" i="3"/>
  <c r="A99" i="3"/>
  <c r="D87" i="3"/>
  <c r="C87" i="3"/>
  <c r="C10" i="3"/>
  <c r="D33" i="3"/>
  <c r="B45" i="3"/>
  <c r="C45" i="3" s="1"/>
  <c r="B67" i="3"/>
  <c r="C67" i="3" s="1"/>
  <c r="D55" i="3"/>
  <c r="D22" i="3"/>
  <c r="B34" i="3"/>
  <c r="C34" i="3" s="1"/>
  <c r="B78" i="3"/>
  <c r="C78" i="3" s="1"/>
  <c r="D66" i="3"/>
  <c r="B101" i="3"/>
  <c r="C101" i="3" s="1"/>
  <c r="D89" i="3"/>
  <c r="B12" i="3"/>
  <c r="D11" i="3"/>
  <c r="AD11" i="3" s="1"/>
  <c r="B23" i="3"/>
  <c r="D44" i="3"/>
  <c r="B56" i="3"/>
  <c r="C56" i="3" s="1"/>
  <c r="E45" i="3" l="1"/>
  <c r="F46" i="3" s="1"/>
  <c r="G47" i="3" s="1"/>
  <c r="H48" i="3" s="1"/>
  <c r="I49" i="3" s="1"/>
  <c r="J50" i="3" s="1"/>
  <c r="K51" i="3" s="1"/>
  <c r="L52" i="3" s="1"/>
  <c r="M53" i="3" s="1"/>
  <c r="N54" i="3" s="1"/>
  <c r="O55" i="3" s="1"/>
  <c r="P56" i="3" s="1"/>
  <c r="AD44" i="3"/>
  <c r="E23" i="3"/>
  <c r="F24" i="3" s="1"/>
  <c r="G25" i="3" s="1"/>
  <c r="H26" i="3" s="1"/>
  <c r="I27" i="3" s="1"/>
  <c r="J28" i="3" s="1"/>
  <c r="K29" i="3" s="1"/>
  <c r="L30" i="3" s="1"/>
  <c r="M31" i="3" s="1"/>
  <c r="N32" i="3" s="1"/>
  <c r="O33" i="3" s="1"/>
  <c r="P34" i="3" s="1"/>
  <c r="AD22" i="3"/>
  <c r="E34" i="3"/>
  <c r="F35" i="3" s="1"/>
  <c r="G36" i="3" s="1"/>
  <c r="H37" i="3" s="1"/>
  <c r="I38" i="3" s="1"/>
  <c r="J39" i="3" s="1"/>
  <c r="K40" i="3" s="1"/>
  <c r="L41" i="3" s="1"/>
  <c r="M42" i="3" s="1"/>
  <c r="N43" i="3" s="1"/>
  <c r="O44" i="3" s="1"/>
  <c r="P45" i="3" s="1"/>
  <c r="AD33" i="3"/>
  <c r="A111" i="3"/>
  <c r="C99" i="3"/>
  <c r="D99" i="3"/>
  <c r="A100" i="3"/>
  <c r="C88" i="3"/>
  <c r="D88" i="3"/>
  <c r="E77" i="3"/>
  <c r="F78" i="3" s="1"/>
  <c r="G79" i="3" s="1"/>
  <c r="H80" i="3" s="1"/>
  <c r="I81" i="3" s="1"/>
  <c r="J82" i="3" s="1"/>
  <c r="K83" i="3" s="1"/>
  <c r="L84" i="3" s="1"/>
  <c r="M85" i="3" s="1"/>
  <c r="N86" i="3" s="1"/>
  <c r="O87" i="3" s="1"/>
  <c r="P88" i="3" s="1"/>
  <c r="AD76" i="3"/>
  <c r="E67" i="3"/>
  <c r="F68" i="3" s="1"/>
  <c r="G69" i="3" s="1"/>
  <c r="H70" i="3" s="1"/>
  <c r="I71" i="3" s="1"/>
  <c r="J72" i="3" s="1"/>
  <c r="K73" i="3" s="1"/>
  <c r="L74" i="3" s="1"/>
  <c r="M75" i="3" s="1"/>
  <c r="N76" i="3" s="1"/>
  <c r="O77" i="3" s="1"/>
  <c r="P78" i="3" s="1"/>
  <c r="AD66" i="3"/>
  <c r="E56" i="3"/>
  <c r="F57" i="3" s="1"/>
  <c r="G58" i="3" s="1"/>
  <c r="H59" i="3" s="1"/>
  <c r="I60" i="3" s="1"/>
  <c r="J61" i="3" s="1"/>
  <c r="K62" i="3" s="1"/>
  <c r="L63" i="3" s="1"/>
  <c r="M64" i="3" s="1"/>
  <c r="N65" i="3" s="1"/>
  <c r="O66" i="3" s="1"/>
  <c r="P67" i="3" s="1"/>
  <c r="AD55" i="3"/>
  <c r="E90" i="3"/>
  <c r="F91" i="3" s="1"/>
  <c r="G92" i="3" s="1"/>
  <c r="H93" i="3" s="1"/>
  <c r="I94" i="3" s="1"/>
  <c r="J95" i="3" s="1"/>
  <c r="K96" i="3" s="1"/>
  <c r="L97" i="3" s="1"/>
  <c r="M98" i="3" s="1"/>
  <c r="N99" i="3" s="1"/>
  <c r="O100" i="3" s="1"/>
  <c r="P101" i="3" s="1"/>
  <c r="AD89" i="3"/>
  <c r="E88" i="3"/>
  <c r="F89" i="3" s="1"/>
  <c r="G90" i="3" s="1"/>
  <c r="H91" i="3" s="1"/>
  <c r="I92" i="3" s="1"/>
  <c r="J93" i="3" s="1"/>
  <c r="K94" i="3" s="1"/>
  <c r="L95" i="3" s="1"/>
  <c r="M96" i="3" s="1"/>
  <c r="N97" i="3" s="1"/>
  <c r="O98" i="3" s="1"/>
  <c r="P99" i="3" s="1"/>
  <c r="AD87" i="3"/>
  <c r="A12" i="3"/>
  <c r="C12" i="3" s="1"/>
  <c r="A23" i="3"/>
  <c r="A35" i="3" s="1"/>
  <c r="A47" i="3" s="1"/>
  <c r="A59" i="3" s="1"/>
  <c r="A71" i="3" s="1"/>
  <c r="A83" i="3" s="1"/>
  <c r="A95" i="3" s="1"/>
  <c r="A107" i="3" s="1"/>
  <c r="E12" i="3"/>
  <c r="F13" i="3" s="1"/>
  <c r="G14" i="3" s="1"/>
  <c r="H15" i="3" s="1"/>
  <c r="I16" i="3" s="1"/>
  <c r="J17" i="3" s="1"/>
  <c r="K18" i="3" s="1"/>
  <c r="L19" i="3" s="1"/>
  <c r="M20" i="3" s="1"/>
  <c r="N21" i="3" s="1"/>
  <c r="O22" i="3" s="1"/>
  <c r="P23" i="3" s="1"/>
  <c r="B68" i="3"/>
  <c r="C68" i="3" s="1"/>
  <c r="D56" i="3"/>
  <c r="B13" i="3"/>
  <c r="B24" i="3"/>
  <c r="B90" i="3"/>
  <c r="C90" i="3" s="1"/>
  <c r="D78" i="3"/>
  <c r="D67" i="3"/>
  <c r="B79" i="3"/>
  <c r="C79" i="3" s="1"/>
  <c r="D34" i="3"/>
  <c r="B46" i="3"/>
  <c r="C46" i="3" s="1"/>
  <c r="D45" i="3"/>
  <c r="B57" i="3"/>
  <c r="C57" i="3" s="1"/>
  <c r="D23" i="3"/>
  <c r="B35" i="3"/>
  <c r="C35" i="3" s="1"/>
  <c r="B113" i="3"/>
  <c r="D101" i="3"/>
  <c r="E24" i="3" l="1"/>
  <c r="F25" i="3" s="1"/>
  <c r="G26" i="3" s="1"/>
  <c r="H27" i="3" s="1"/>
  <c r="I28" i="3" s="1"/>
  <c r="J29" i="3" s="1"/>
  <c r="K30" i="3" s="1"/>
  <c r="L31" i="3" s="1"/>
  <c r="M32" i="3" s="1"/>
  <c r="N33" i="3" s="1"/>
  <c r="O34" i="3" s="1"/>
  <c r="P35" i="3" s="1"/>
  <c r="AD23" i="3"/>
  <c r="E46" i="3"/>
  <c r="F47" i="3" s="1"/>
  <c r="G48" i="3" s="1"/>
  <c r="H49" i="3" s="1"/>
  <c r="I50" i="3" s="1"/>
  <c r="J51" i="3" s="1"/>
  <c r="K52" i="3" s="1"/>
  <c r="L53" i="3" s="1"/>
  <c r="M54" i="3" s="1"/>
  <c r="N55" i="3" s="1"/>
  <c r="O56" i="3" s="1"/>
  <c r="P57" i="3" s="1"/>
  <c r="AD45" i="3"/>
  <c r="E68" i="3"/>
  <c r="F69" i="3" s="1"/>
  <c r="G70" i="3" s="1"/>
  <c r="H71" i="3" s="1"/>
  <c r="I72" i="3" s="1"/>
  <c r="J73" i="3" s="1"/>
  <c r="K74" i="3" s="1"/>
  <c r="L75" i="3" s="1"/>
  <c r="M76" i="3" s="1"/>
  <c r="N77" i="3" s="1"/>
  <c r="O78" i="3" s="1"/>
  <c r="P79" i="3" s="1"/>
  <c r="AD67" i="3"/>
  <c r="C111" i="3"/>
  <c r="D111" i="3"/>
  <c r="E35" i="3"/>
  <c r="F36" i="3" s="1"/>
  <c r="G37" i="3" s="1"/>
  <c r="H38" i="3" s="1"/>
  <c r="I39" i="3" s="1"/>
  <c r="J40" i="3" s="1"/>
  <c r="K41" i="3" s="1"/>
  <c r="L42" i="3" s="1"/>
  <c r="M43" i="3" s="1"/>
  <c r="N44" i="3" s="1"/>
  <c r="O45" i="3" s="1"/>
  <c r="P46" i="3" s="1"/>
  <c r="AD34" i="3"/>
  <c r="E79" i="3"/>
  <c r="F80" i="3" s="1"/>
  <c r="G81" i="3" s="1"/>
  <c r="H82" i="3" s="1"/>
  <c r="I83" i="3" s="1"/>
  <c r="J84" i="3" s="1"/>
  <c r="K85" i="3" s="1"/>
  <c r="L86" i="3" s="1"/>
  <c r="M87" i="3" s="1"/>
  <c r="N88" i="3" s="1"/>
  <c r="O89" i="3" s="1"/>
  <c r="P90" i="3" s="1"/>
  <c r="AD78" i="3"/>
  <c r="A112" i="3"/>
  <c r="D100" i="3"/>
  <c r="C100" i="3"/>
  <c r="C23" i="3"/>
  <c r="E57" i="3"/>
  <c r="F58" i="3" s="1"/>
  <c r="G59" i="3" s="1"/>
  <c r="H60" i="3" s="1"/>
  <c r="I61" i="3" s="1"/>
  <c r="J62" i="3" s="1"/>
  <c r="K63" i="3" s="1"/>
  <c r="L64" i="3" s="1"/>
  <c r="M65" i="3" s="1"/>
  <c r="N66" i="3" s="1"/>
  <c r="O67" i="3" s="1"/>
  <c r="P68" i="3" s="1"/>
  <c r="AD56" i="3"/>
  <c r="A13" i="3"/>
  <c r="C13" i="3" s="1"/>
  <c r="A24" i="3"/>
  <c r="A36" i="3" s="1"/>
  <c r="A48" i="3" s="1"/>
  <c r="A60" i="3" s="1"/>
  <c r="A72" i="3" s="1"/>
  <c r="A84" i="3" s="1"/>
  <c r="A96" i="3" s="1"/>
  <c r="A108" i="3" s="1"/>
  <c r="E100" i="3"/>
  <c r="F101" i="3" s="1"/>
  <c r="G102" i="3" s="1"/>
  <c r="H103" i="3" s="1"/>
  <c r="I104" i="3" s="1"/>
  <c r="J105" i="3" s="1"/>
  <c r="K106" i="3" s="1"/>
  <c r="L107" i="3" s="1"/>
  <c r="M108" i="3" s="1"/>
  <c r="N109" i="3" s="1"/>
  <c r="O110" i="3" s="1"/>
  <c r="P111" i="3" s="1"/>
  <c r="AD99" i="3"/>
  <c r="E102" i="3"/>
  <c r="F103" i="3" s="1"/>
  <c r="G104" i="3" s="1"/>
  <c r="H105" i="3" s="1"/>
  <c r="I106" i="3" s="1"/>
  <c r="J107" i="3" s="1"/>
  <c r="K108" i="3" s="1"/>
  <c r="L109" i="3" s="1"/>
  <c r="M110" i="3" s="1"/>
  <c r="N111" i="3" s="1"/>
  <c r="O112" i="3" s="1"/>
  <c r="P113" i="3" s="1"/>
  <c r="AD101" i="3"/>
  <c r="D12" i="3"/>
  <c r="E89" i="3"/>
  <c r="F90" i="3" s="1"/>
  <c r="G91" i="3" s="1"/>
  <c r="H92" i="3" s="1"/>
  <c r="I93" i="3" s="1"/>
  <c r="J94" i="3" s="1"/>
  <c r="K95" i="3" s="1"/>
  <c r="L96" i="3" s="1"/>
  <c r="M97" i="3" s="1"/>
  <c r="N98" i="3" s="1"/>
  <c r="O99" i="3" s="1"/>
  <c r="P100" i="3" s="1"/>
  <c r="AD88" i="3"/>
  <c r="D113" i="3"/>
  <c r="C113" i="3"/>
  <c r="B47" i="3"/>
  <c r="C47" i="3" s="1"/>
  <c r="D35" i="3"/>
  <c r="D57" i="3"/>
  <c r="B69" i="3"/>
  <c r="C69" i="3" s="1"/>
  <c r="D46" i="3"/>
  <c r="B58" i="3"/>
  <c r="C58" i="3" s="1"/>
  <c r="B91" i="3"/>
  <c r="C91" i="3" s="1"/>
  <c r="D79" i="3"/>
  <c r="B102" i="3"/>
  <c r="C102" i="3" s="1"/>
  <c r="D90" i="3"/>
  <c r="B36" i="3"/>
  <c r="C36" i="3" s="1"/>
  <c r="D24" i="3"/>
  <c r="B14" i="3"/>
  <c r="D13" i="3"/>
  <c r="B25" i="3"/>
  <c r="D68" i="3"/>
  <c r="B80" i="3"/>
  <c r="C80" i="3" s="1"/>
  <c r="E14" i="3" l="1"/>
  <c r="F15" i="3" s="1"/>
  <c r="G16" i="3" s="1"/>
  <c r="H17" i="3" s="1"/>
  <c r="I18" i="3" s="1"/>
  <c r="J19" i="3" s="1"/>
  <c r="K20" i="3" s="1"/>
  <c r="L21" i="3" s="1"/>
  <c r="M22" i="3" s="1"/>
  <c r="N23" i="3" s="1"/>
  <c r="O24" i="3" s="1"/>
  <c r="P25" i="3" s="1"/>
  <c r="AD13" i="3"/>
  <c r="E47" i="3"/>
  <c r="F48" i="3" s="1"/>
  <c r="G49" i="3" s="1"/>
  <c r="H50" i="3" s="1"/>
  <c r="I51" i="3" s="1"/>
  <c r="J52" i="3" s="1"/>
  <c r="K53" i="3" s="1"/>
  <c r="L54" i="3" s="1"/>
  <c r="M55" i="3" s="1"/>
  <c r="N56" i="3" s="1"/>
  <c r="O57" i="3" s="1"/>
  <c r="P58" i="3" s="1"/>
  <c r="AD46" i="3"/>
  <c r="E101" i="3"/>
  <c r="F102" i="3" s="1"/>
  <c r="G103" i="3" s="1"/>
  <c r="H104" i="3" s="1"/>
  <c r="I105" i="3" s="1"/>
  <c r="J106" i="3" s="1"/>
  <c r="K107" i="3" s="1"/>
  <c r="L108" i="3" s="1"/>
  <c r="M109" i="3" s="1"/>
  <c r="N110" i="3" s="1"/>
  <c r="O111" i="3" s="1"/>
  <c r="P112" i="3" s="1"/>
  <c r="AD100" i="3"/>
  <c r="E69" i="3"/>
  <c r="F70" i="3" s="1"/>
  <c r="G71" i="3" s="1"/>
  <c r="H72" i="3" s="1"/>
  <c r="I73" i="3" s="1"/>
  <c r="J74" i="3" s="1"/>
  <c r="K75" i="3" s="1"/>
  <c r="L76" i="3" s="1"/>
  <c r="M77" i="3" s="1"/>
  <c r="N78" i="3" s="1"/>
  <c r="O79" i="3" s="1"/>
  <c r="P80" i="3" s="1"/>
  <c r="AD68" i="3"/>
  <c r="E80" i="3"/>
  <c r="F81" i="3" s="1"/>
  <c r="G82" i="3" s="1"/>
  <c r="H83" i="3" s="1"/>
  <c r="I84" i="3" s="1"/>
  <c r="J85" i="3" s="1"/>
  <c r="K86" i="3" s="1"/>
  <c r="L87" i="3" s="1"/>
  <c r="M88" i="3" s="1"/>
  <c r="N89" i="3" s="1"/>
  <c r="O90" i="3" s="1"/>
  <c r="P91" i="3" s="1"/>
  <c r="AD79" i="3"/>
  <c r="E13" i="3"/>
  <c r="F14" i="3" s="1"/>
  <c r="G15" i="3" s="1"/>
  <c r="H16" i="3" s="1"/>
  <c r="I17" i="3" s="1"/>
  <c r="J18" i="3" s="1"/>
  <c r="K19" i="3" s="1"/>
  <c r="L20" i="3" s="1"/>
  <c r="M21" i="3" s="1"/>
  <c r="N22" i="3" s="1"/>
  <c r="O23" i="3" s="1"/>
  <c r="P24" i="3" s="1"/>
  <c r="AD12" i="3"/>
  <c r="C112" i="3"/>
  <c r="D112" i="3"/>
  <c r="C24" i="3"/>
  <c r="E25" i="3"/>
  <c r="F26" i="3" s="1"/>
  <c r="G27" i="3" s="1"/>
  <c r="H28" i="3" s="1"/>
  <c r="I29" i="3" s="1"/>
  <c r="J30" i="3" s="1"/>
  <c r="K31" i="3" s="1"/>
  <c r="L32" i="3" s="1"/>
  <c r="M33" i="3" s="1"/>
  <c r="N34" i="3" s="1"/>
  <c r="O35" i="3" s="1"/>
  <c r="P36" i="3" s="1"/>
  <c r="AD24" i="3"/>
  <c r="C25" i="3"/>
  <c r="E58" i="3"/>
  <c r="F59" i="3" s="1"/>
  <c r="G60" i="3" s="1"/>
  <c r="H61" i="3" s="1"/>
  <c r="I62" i="3" s="1"/>
  <c r="J63" i="3" s="1"/>
  <c r="K64" i="3" s="1"/>
  <c r="L65" i="3" s="1"/>
  <c r="M66" i="3" s="1"/>
  <c r="N67" i="3" s="1"/>
  <c r="O68" i="3" s="1"/>
  <c r="P69" i="3" s="1"/>
  <c r="AD57" i="3"/>
  <c r="E114" i="3"/>
  <c r="F115" i="3" s="1"/>
  <c r="G116" i="3" s="1"/>
  <c r="H117" i="3" s="1"/>
  <c r="I118" i="3" s="1"/>
  <c r="AD113" i="3"/>
  <c r="E91" i="3"/>
  <c r="F92" i="3" s="1"/>
  <c r="G93" i="3" s="1"/>
  <c r="H94" i="3" s="1"/>
  <c r="I95" i="3" s="1"/>
  <c r="J96" i="3" s="1"/>
  <c r="K97" i="3" s="1"/>
  <c r="L98" i="3" s="1"/>
  <c r="M99" i="3" s="1"/>
  <c r="N100" i="3" s="1"/>
  <c r="O101" i="3" s="1"/>
  <c r="P102" i="3" s="1"/>
  <c r="AD90" i="3"/>
  <c r="E36" i="3"/>
  <c r="F37" i="3" s="1"/>
  <c r="G38" i="3" s="1"/>
  <c r="H39" i="3" s="1"/>
  <c r="I40" i="3" s="1"/>
  <c r="J41" i="3" s="1"/>
  <c r="K42" i="3" s="1"/>
  <c r="L43" i="3" s="1"/>
  <c r="M44" i="3" s="1"/>
  <c r="N45" i="3" s="1"/>
  <c r="O46" i="3" s="1"/>
  <c r="P47" i="3" s="1"/>
  <c r="AD35" i="3"/>
  <c r="A14" i="3"/>
  <c r="A26" i="3" s="1"/>
  <c r="A38" i="3" s="1"/>
  <c r="A50" i="3" s="1"/>
  <c r="A62" i="3" s="1"/>
  <c r="A74" i="3" s="1"/>
  <c r="A86" i="3" s="1"/>
  <c r="A98" i="3" s="1"/>
  <c r="A110" i="3" s="1"/>
  <c r="A25" i="3"/>
  <c r="A37" i="3" s="1"/>
  <c r="A49" i="3" s="1"/>
  <c r="A61" i="3" s="1"/>
  <c r="A73" i="3" s="1"/>
  <c r="A85" i="3" s="1"/>
  <c r="A97" i="3" s="1"/>
  <c r="A109" i="3" s="1"/>
  <c r="E112" i="3"/>
  <c r="F113" i="3" s="1"/>
  <c r="G114" i="3" s="1"/>
  <c r="H115" i="3" s="1"/>
  <c r="I116" i="3" s="1"/>
  <c r="J117" i="3" s="1"/>
  <c r="K118" i="3" s="1"/>
  <c r="AD111" i="3"/>
  <c r="B92" i="3"/>
  <c r="C92" i="3" s="1"/>
  <c r="D80" i="3"/>
  <c r="D25" i="3"/>
  <c r="B37" i="3"/>
  <c r="C37" i="3" s="1"/>
  <c r="B26" i="3"/>
  <c r="C26" i="3" s="1"/>
  <c r="D14" i="3"/>
  <c r="D36" i="3"/>
  <c r="B48" i="3"/>
  <c r="C48" i="3" s="1"/>
  <c r="B114" i="3"/>
  <c r="D102" i="3"/>
  <c r="B103" i="3"/>
  <c r="C103" i="3" s="1"/>
  <c r="D91" i="3"/>
  <c r="D58" i="3"/>
  <c r="B70" i="3"/>
  <c r="C70" i="3" s="1"/>
  <c r="D69" i="3"/>
  <c r="B81" i="3"/>
  <c r="C81" i="3" s="1"/>
  <c r="B59" i="3"/>
  <c r="C59" i="3" s="1"/>
  <c r="D47" i="3"/>
  <c r="E103" i="3" l="1"/>
  <c r="F104" i="3" s="1"/>
  <c r="G105" i="3" s="1"/>
  <c r="H106" i="3" s="1"/>
  <c r="I107" i="3" s="1"/>
  <c r="J108" i="3" s="1"/>
  <c r="K109" i="3" s="1"/>
  <c r="L110" i="3" s="1"/>
  <c r="M111" i="3" s="1"/>
  <c r="N112" i="3" s="1"/>
  <c r="O113" i="3" s="1"/>
  <c r="P114" i="3" s="1"/>
  <c r="AD102" i="3"/>
  <c r="E59" i="3"/>
  <c r="F60" i="3" s="1"/>
  <c r="G61" i="3" s="1"/>
  <c r="H62" i="3" s="1"/>
  <c r="I63" i="3" s="1"/>
  <c r="J64" i="3" s="1"/>
  <c r="K65" i="3" s="1"/>
  <c r="L66" i="3" s="1"/>
  <c r="M67" i="3" s="1"/>
  <c r="N68" i="3" s="1"/>
  <c r="O69" i="3" s="1"/>
  <c r="P70" i="3" s="1"/>
  <c r="AD58" i="3"/>
  <c r="E92" i="3"/>
  <c r="F93" i="3" s="1"/>
  <c r="G94" i="3" s="1"/>
  <c r="H95" i="3" s="1"/>
  <c r="I96" i="3" s="1"/>
  <c r="J97" i="3" s="1"/>
  <c r="K98" i="3" s="1"/>
  <c r="L99" i="3" s="1"/>
  <c r="M100" i="3" s="1"/>
  <c r="N101" i="3" s="1"/>
  <c r="O102" i="3" s="1"/>
  <c r="P103" i="3" s="1"/>
  <c r="AD91" i="3"/>
  <c r="E113" i="3"/>
  <c r="F114" i="3" s="1"/>
  <c r="G115" i="3" s="1"/>
  <c r="H116" i="3" s="1"/>
  <c r="I117" i="3" s="1"/>
  <c r="J118" i="3" s="1"/>
  <c r="AD112" i="3"/>
  <c r="C14" i="3"/>
  <c r="E70" i="3"/>
  <c r="F71" i="3" s="1"/>
  <c r="G72" i="3" s="1"/>
  <c r="H73" i="3" s="1"/>
  <c r="I74" i="3" s="1"/>
  <c r="J75" i="3" s="1"/>
  <c r="K76" i="3" s="1"/>
  <c r="L77" i="3" s="1"/>
  <c r="M78" i="3" s="1"/>
  <c r="N79" i="3" s="1"/>
  <c r="O80" i="3" s="1"/>
  <c r="P81" i="3" s="1"/>
  <c r="AD69" i="3"/>
  <c r="E37" i="3"/>
  <c r="F38" i="3" s="1"/>
  <c r="G39" i="3" s="1"/>
  <c r="H40" i="3" s="1"/>
  <c r="I41" i="3" s="1"/>
  <c r="J42" i="3" s="1"/>
  <c r="K43" i="3" s="1"/>
  <c r="L44" i="3" s="1"/>
  <c r="M45" i="3" s="1"/>
  <c r="N46" i="3" s="1"/>
  <c r="O47" i="3" s="1"/>
  <c r="P48" i="3" s="1"/>
  <c r="AD36" i="3"/>
  <c r="E26" i="3"/>
  <c r="F27" i="3" s="1"/>
  <c r="G28" i="3" s="1"/>
  <c r="H29" i="3" s="1"/>
  <c r="I30" i="3" s="1"/>
  <c r="J31" i="3" s="1"/>
  <c r="K32" i="3" s="1"/>
  <c r="L33" i="3" s="1"/>
  <c r="M34" i="3" s="1"/>
  <c r="N35" i="3" s="1"/>
  <c r="O36" i="3" s="1"/>
  <c r="P37" i="3" s="1"/>
  <c r="AD25" i="3"/>
  <c r="E48" i="3"/>
  <c r="F49" i="3" s="1"/>
  <c r="G50" i="3" s="1"/>
  <c r="H51" i="3" s="1"/>
  <c r="I52" i="3" s="1"/>
  <c r="J53" i="3" s="1"/>
  <c r="K54" i="3" s="1"/>
  <c r="L55" i="3" s="1"/>
  <c r="M56" i="3" s="1"/>
  <c r="N57" i="3" s="1"/>
  <c r="O58" i="3" s="1"/>
  <c r="P59" i="3" s="1"/>
  <c r="AD47" i="3"/>
  <c r="E15" i="3"/>
  <c r="F16" i="3" s="1"/>
  <c r="G17" i="3" s="1"/>
  <c r="H18" i="3" s="1"/>
  <c r="I19" i="3" s="1"/>
  <c r="J20" i="3" s="1"/>
  <c r="K21" i="3" s="1"/>
  <c r="L22" i="3" s="1"/>
  <c r="M23" i="3" s="1"/>
  <c r="N24" i="3" s="1"/>
  <c r="O25" i="3" s="1"/>
  <c r="P26" i="3" s="1"/>
  <c r="AD14" i="3"/>
  <c r="E81" i="3"/>
  <c r="F82" i="3" s="1"/>
  <c r="G83" i="3" s="1"/>
  <c r="H84" i="3" s="1"/>
  <c r="I85" i="3" s="1"/>
  <c r="J86" i="3" s="1"/>
  <c r="K87" i="3" s="1"/>
  <c r="L88" i="3" s="1"/>
  <c r="M89" i="3" s="1"/>
  <c r="N90" i="3" s="1"/>
  <c r="O91" i="3" s="1"/>
  <c r="P92" i="3" s="1"/>
  <c r="AD80" i="3"/>
  <c r="D114" i="3"/>
  <c r="C114" i="3"/>
  <c r="B71" i="3"/>
  <c r="C71" i="3" s="1"/>
  <c r="D59" i="3"/>
  <c r="B93" i="3"/>
  <c r="C93" i="3" s="1"/>
  <c r="D81" i="3"/>
  <c r="D70" i="3"/>
  <c r="B82" i="3"/>
  <c r="C82" i="3" s="1"/>
  <c r="B115" i="3"/>
  <c r="D103" i="3"/>
  <c r="B60" i="3"/>
  <c r="C60" i="3" s="1"/>
  <c r="D48" i="3"/>
  <c r="D26" i="3"/>
  <c r="B38" i="3"/>
  <c r="C38" i="3" s="1"/>
  <c r="D37" i="3"/>
  <c r="B49" i="3"/>
  <c r="C49" i="3" s="1"/>
  <c r="D92" i="3"/>
  <c r="B104" i="3"/>
  <c r="C104" i="3" s="1"/>
  <c r="E38" i="3" l="1"/>
  <c r="F39" i="3" s="1"/>
  <c r="G40" i="3" s="1"/>
  <c r="H41" i="3" s="1"/>
  <c r="I42" i="3" s="1"/>
  <c r="J43" i="3" s="1"/>
  <c r="K44" i="3" s="1"/>
  <c r="L45" i="3" s="1"/>
  <c r="M46" i="3" s="1"/>
  <c r="N47" i="3" s="1"/>
  <c r="O48" i="3" s="1"/>
  <c r="P49" i="3" s="1"/>
  <c r="AD37" i="3"/>
  <c r="E71" i="3"/>
  <c r="F72" i="3" s="1"/>
  <c r="G73" i="3" s="1"/>
  <c r="H74" i="3" s="1"/>
  <c r="I75" i="3" s="1"/>
  <c r="J76" i="3" s="1"/>
  <c r="K77" i="3" s="1"/>
  <c r="L78" i="3" s="1"/>
  <c r="M79" i="3" s="1"/>
  <c r="N80" i="3" s="1"/>
  <c r="O81" i="3" s="1"/>
  <c r="P82" i="3" s="1"/>
  <c r="AD70" i="3"/>
  <c r="E104" i="3"/>
  <c r="F105" i="3" s="1"/>
  <c r="G106" i="3" s="1"/>
  <c r="H107" i="3" s="1"/>
  <c r="I108" i="3" s="1"/>
  <c r="J109" i="3" s="1"/>
  <c r="K110" i="3" s="1"/>
  <c r="L111" i="3" s="1"/>
  <c r="M112" i="3" s="1"/>
  <c r="N113" i="3" s="1"/>
  <c r="O114" i="3" s="1"/>
  <c r="P115" i="3" s="1"/>
  <c r="AD103" i="3"/>
  <c r="E82" i="3"/>
  <c r="F83" i="3" s="1"/>
  <c r="G84" i="3" s="1"/>
  <c r="H85" i="3" s="1"/>
  <c r="I86" i="3" s="1"/>
  <c r="J87" i="3" s="1"/>
  <c r="K88" i="3" s="1"/>
  <c r="L89" i="3" s="1"/>
  <c r="M90" i="3" s="1"/>
  <c r="N91" i="3" s="1"/>
  <c r="O92" i="3" s="1"/>
  <c r="P93" i="3" s="1"/>
  <c r="AD81" i="3"/>
  <c r="E93" i="3"/>
  <c r="F94" i="3" s="1"/>
  <c r="G95" i="3" s="1"/>
  <c r="H96" i="3" s="1"/>
  <c r="I97" i="3" s="1"/>
  <c r="J98" i="3" s="1"/>
  <c r="K99" i="3" s="1"/>
  <c r="L100" i="3" s="1"/>
  <c r="M101" i="3" s="1"/>
  <c r="N102" i="3" s="1"/>
  <c r="O103" i="3" s="1"/>
  <c r="P104" i="3" s="1"/>
  <c r="AD92" i="3"/>
  <c r="E27" i="3"/>
  <c r="F28" i="3" s="1"/>
  <c r="G29" i="3" s="1"/>
  <c r="H30" i="3" s="1"/>
  <c r="I31" i="3" s="1"/>
  <c r="J32" i="3" s="1"/>
  <c r="K33" i="3" s="1"/>
  <c r="L34" i="3" s="1"/>
  <c r="M35" i="3" s="1"/>
  <c r="N36" i="3" s="1"/>
  <c r="O37" i="3" s="1"/>
  <c r="P38" i="3" s="1"/>
  <c r="AD26" i="3"/>
  <c r="E115" i="3"/>
  <c r="F116" i="3" s="1"/>
  <c r="G117" i="3" s="1"/>
  <c r="H118" i="3" s="1"/>
  <c r="AD114" i="3"/>
  <c r="E49" i="3"/>
  <c r="F50" i="3" s="1"/>
  <c r="G51" i="3" s="1"/>
  <c r="H52" i="3" s="1"/>
  <c r="I53" i="3" s="1"/>
  <c r="J54" i="3" s="1"/>
  <c r="K55" i="3" s="1"/>
  <c r="L56" i="3" s="1"/>
  <c r="M57" i="3" s="1"/>
  <c r="N58" i="3" s="1"/>
  <c r="O59" i="3" s="1"/>
  <c r="P60" i="3" s="1"/>
  <c r="AD48" i="3"/>
  <c r="E60" i="3"/>
  <c r="F61" i="3" s="1"/>
  <c r="G62" i="3" s="1"/>
  <c r="H63" i="3" s="1"/>
  <c r="I64" i="3" s="1"/>
  <c r="J65" i="3" s="1"/>
  <c r="K66" i="3" s="1"/>
  <c r="L67" i="3" s="1"/>
  <c r="M68" i="3" s="1"/>
  <c r="N69" i="3" s="1"/>
  <c r="O70" i="3" s="1"/>
  <c r="P71" i="3" s="1"/>
  <c r="AD59" i="3"/>
  <c r="D115" i="3"/>
  <c r="C115" i="3"/>
  <c r="B116" i="3"/>
  <c r="D104" i="3"/>
  <c r="D49" i="3"/>
  <c r="B61" i="3"/>
  <c r="C61" i="3" s="1"/>
  <c r="D38" i="3"/>
  <c r="B50" i="3"/>
  <c r="C50" i="3" s="1"/>
  <c r="D60" i="3"/>
  <c r="B72" i="3"/>
  <c r="C72" i="3" s="1"/>
  <c r="B94" i="3"/>
  <c r="C94" i="3" s="1"/>
  <c r="D82" i="3"/>
  <c r="B105" i="3"/>
  <c r="C105" i="3" s="1"/>
  <c r="D93" i="3"/>
  <c r="D71" i="3"/>
  <c r="B83" i="3"/>
  <c r="C83" i="3" s="1"/>
  <c r="E72" i="3" l="1"/>
  <c r="F73" i="3" s="1"/>
  <c r="G74" i="3" s="1"/>
  <c r="H75" i="3" s="1"/>
  <c r="I76" i="3" s="1"/>
  <c r="J77" i="3" s="1"/>
  <c r="K78" i="3" s="1"/>
  <c r="L79" i="3" s="1"/>
  <c r="M80" i="3" s="1"/>
  <c r="N81" i="3" s="1"/>
  <c r="O82" i="3" s="1"/>
  <c r="P83" i="3" s="1"/>
  <c r="AD71" i="3"/>
  <c r="E94" i="3"/>
  <c r="F95" i="3" s="1"/>
  <c r="G96" i="3" s="1"/>
  <c r="H97" i="3" s="1"/>
  <c r="I98" i="3" s="1"/>
  <c r="J99" i="3" s="1"/>
  <c r="K100" i="3" s="1"/>
  <c r="L101" i="3" s="1"/>
  <c r="M102" i="3" s="1"/>
  <c r="N103" i="3" s="1"/>
  <c r="O104" i="3" s="1"/>
  <c r="P105" i="3" s="1"/>
  <c r="AD93" i="3"/>
  <c r="E50" i="3"/>
  <c r="F51" i="3" s="1"/>
  <c r="G52" i="3" s="1"/>
  <c r="H53" i="3" s="1"/>
  <c r="I54" i="3" s="1"/>
  <c r="J55" i="3" s="1"/>
  <c r="K56" i="3" s="1"/>
  <c r="L57" i="3" s="1"/>
  <c r="M58" i="3" s="1"/>
  <c r="N59" i="3" s="1"/>
  <c r="O60" i="3" s="1"/>
  <c r="P61" i="3" s="1"/>
  <c r="AD49" i="3"/>
  <c r="E116" i="3"/>
  <c r="F117" i="3" s="1"/>
  <c r="G118" i="3" s="1"/>
  <c r="AD115" i="3"/>
  <c r="E83" i="3"/>
  <c r="F84" i="3" s="1"/>
  <c r="G85" i="3" s="1"/>
  <c r="H86" i="3" s="1"/>
  <c r="I87" i="3" s="1"/>
  <c r="J88" i="3" s="1"/>
  <c r="K89" i="3" s="1"/>
  <c r="L90" i="3" s="1"/>
  <c r="M91" i="3" s="1"/>
  <c r="N92" i="3" s="1"/>
  <c r="O93" i="3" s="1"/>
  <c r="P94" i="3" s="1"/>
  <c r="AD82" i="3"/>
  <c r="E105" i="3"/>
  <c r="F106" i="3" s="1"/>
  <c r="G107" i="3" s="1"/>
  <c r="H108" i="3" s="1"/>
  <c r="I109" i="3" s="1"/>
  <c r="J110" i="3" s="1"/>
  <c r="K111" i="3" s="1"/>
  <c r="L112" i="3" s="1"/>
  <c r="M113" i="3" s="1"/>
  <c r="N114" i="3" s="1"/>
  <c r="O115" i="3" s="1"/>
  <c r="P116" i="3" s="1"/>
  <c r="AD104" i="3"/>
  <c r="E61" i="3"/>
  <c r="F62" i="3" s="1"/>
  <c r="G63" i="3" s="1"/>
  <c r="H64" i="3" s="1"/>
  <c r="I65" i="3" s="1"/>
  <c r="J66" i="3" s="1"/>
  <c r="K67" i="3" s="1"/>
  <c r="L68" i="3" s="1"/>
  <c r="M69" i="3" s="1"/>
  <c r="N70" i="3" s="1"/>
  <c r="O71" i="3" s="1"/>
  <c r="P72" i="3" s="1"/>
  <c r="AD60" i="3"/>
  <c r="E39" i="3"/>
  <c r="F40" i="3" s="1"/>
  <c r="G41" i="3" s="1"/>
  <c r="H42" i="3" s="1"/>
  <c r="I43" i="3" s="1"/>
  <c r="J44" i="3" s="1"/>
  <c r="K45" i="3" s="1"/>
  <c r="L46" i="3" s="1"/>
  <c r="M47" i="3" s="1"/>
  <c r="N48" i="3" s="1"/>
  <c r="O49" i="3" s="1"/>
  <c r="P50" i="3" s="1"/>
  <c r="AD38" i="3"/>
  <c r="D116" i="3"/>
  <c r="C116" i="3"/>
  <c r="B95" i="3"/>
  <c r="C95" i="3" s="1"/>
  <c r="D83" i="3"/>
  <c r="B117" i="3"/>
  <c r="D105" i="3"/>
  <c r="B106" i="3"/>
  <c r="C106" i="3" s="1"/>
  <c r="D94" i="3"/>
  <c r="B84" i="3"/>
  <c r="C84" i="3" s="1"/>
  <c r="D72" i="3"/>
  <c r="D50" i="3"/>
  <c r="B62" i="3"/>
  <c r="C62" i="3" s="1"/>
  <c r="D61" i="3"/>
  <c r="B73" i="3"/>
  <c r="C73" i="3" s="1"/>
  <c r="E95" i="3" l="1"/>
  <c r="F96" i="3" s="1"/>
  <c r="G97" i="3" s="1"/>
  <c r="H98" i="3" s="1"/>
  <c r="I99" i="3" s="1"/>
  <c r="J100" i="3" s="1"/>
  <c r="K101" i="3" s="1"/>
  <c r="L102" i="3" s="1"/>
  <c r="M103" i="3" s="1"/>
  <c r="N104" i="3" s="1"/>
  <c r="O105" i="3" s="1"/>
  <c r="P106" i="3" s="1"/>
  <c r="AD94" i="3"/>
  <c r="E84" i="3"/>
  <c r="F85" i="3" s="1"/>
  <c r="G86" i="3" s="1"/>
  <c r="H87" i="3" s="1"/>
  <c r="I88" i="3" s="1"/>
  <c r="J89" i="3" s="1"/>
  <c r="K90" i="3" s="1"/>
  <c r="L91" i="3" s="1"/>
  <c r="M92" i="3" s="1"/>
  <c r="N93" i="3" s="1"/>
  <c r="O94" i="3" s="1"/>
  <c r="P95" i="3" s="1"/>
  <c r="AD83" i="3"/>
  <c r="E62" i="3"/>
  <c r="F63" i="3" s="1"/>
  <c r="G64" i="3" s="1"/>
  <c r="H65" i="3" s="1"/>
  <c r="I66" i="3" s="1"/>
  <c r="J67" i="3" s="1"/>
  <c r="K68" i="3" s="1"/>
  <c r="L69" i="3" s="1"/>
  <c r="M70" i="3" s="1"/>
  <c r="N71" i="3" s="1"/>
  <c r="O72" i="3" s="1"/>
  <c r="P73" i="3" s="1"/>
  <c r="AD61" i="3"/>
  <c r="E51" i="3"/>
  <c r="F52" i="3" s="1"/>
  <c r="G53" i="3" s="1"/>
  <c r="H54" i="3" s="1"/>
  <c r="I55" i="3" s="1"/>
  <c r="J56" i="3" s="1"/>
  <c r="K57" i="3" s="1"/>
  <c r="L58" i="3" s="1"/>
  <c r="M59" i="3" s="1"/>
  <c r="N60" i="3" s="1"/>
  <c r="O61" i="3" s="1"/>
  <c r="P62" i="3" s="1"/>
  <c r="AD50" i="3"/>
  <c r="E73" i="3"/>
  <c r="F74" i="3" s="1"/>
  <c r="G75" i="3" s="1"/>
  <c r="H76" i="3" s="1"/>
  <c r="I77" i="3" s="1"/>
  <c r="J78" i="3" s="1"/>
  <c r="K79" i="3" s="1"/>
  <c r="L80" i="3" s="1"/>
  <c r="M81" i="3" s="1"/>
  <c r="N82" i="3" s="1"/>
  <c r="O83" i="3" s="1"/>
  <c r="P84" i="3" s="1"/>
  <c r="AD72" i="3"/>
  <c r="E106" i="3"/>
  <c r="F107" i="3" s="1"/>
  <c r="G108" i="3" s="1"/>
  <c r="H109" i="3" s="1"/>
  <c r="I110" i="3" s="1"/>
  <c r="J111" i="3" s="1"/>
  <c r="K112" i="3" s="1"/>
  <c r="L113" i="3" s="1"/>
  <c r="M114" i="3" s="1"/>
  <c r="N115" i="3" s="1"/>
  <c r="O116" i="3" s="1"/>
  <c r="P117" i="3" s="1"/>
  <c r="AD105" i="3"/>
  <c r="E117" i="3"/>
  <c r="F118" i="3" s="1"/>
  <c r="AD116" i="3"/>
  <c r="D117" i="3"/>
  <c r="C117" i="3"/>
  <c r="D73" i="3"/>
  <c r="B85" i="3"/>
  <c r="C85" i="3" s="1"/>
  <c r="D62" i="3"/>
  <c r="B74" i="3"/>
  <c r="C74" i="3" s="1"/>
  <c r="B96" i="3"/>
  <c r="C96" i="3" s="1"/>
  <c r="D84" i="3"/>
  <c r="B118" i="3"/>
  <c r="D106" i="3"/>
  <c r="B107" i="3"/>
  <c r="D95" i="3"/>
  <c r="E107" i="3" l="1"/>
  <c r="F108" i="3" s="1"/>
  <c r="G109" i="3" s="1"/>
  <c r="H110" i="3" s="1"/>
  <c r="I111" i="3" s="1"/>
  <c r="J112" i="3" s="1"/>
  <c r="K113" i="3" s="1"/>
  <c r="L114" i="3" s="1"/>
  <c r="M115" i="3" s="1"/>
  <c r="N116" i="3" s="1"/>
  <c r="O117" i="3" s="1"/>
  <c r="P118" i="3" s="1"/>
  <c r="AD106" i="3"/>
  <c r="E118" i="3"/>
  <c r="AD117" i="3"/>
  <c r="E63" i="3"/>
  <c r="F64" i="3" s="1"/>
  <c r="G65" i="3" s="1"/>
  <c r="H66" i="3" s="1"/>
  <c r="I67" i="3" s="1"/>
  <c r="J68" i="3" s="1"/>
  <c r="K69" i="3" s="1"/>
  <c r="L70" i="3" s="1"/>
  <c r="M71" i="3" s="1"/>
  <c r="N72" i="3" s="1"/>
  <c r="O73" i="3" s="1"/>
  <c r="P74" i="3" s="1"/>
  <c r="AD62" i="3"/>
  <c r="E85" i="3"/>
  <c r="F86" i="3" s="1"/>
  <c r="G87" i="3" s="1"/>
  <c r="H88" i="3" s="1"/>
  <c r="I89" i="3" s="1"/>
  <c r="J90" i="3" s="1"/>
  <c r="K91" i="3" s="1"/>
  <c r="L92" i="3" s="1"/>
  <c r="M93" i="3" s="1"/>
  <c r="N94" i="3" s="1"/>
  <c r="O95" i="3" s="1"/>
  <c r="P96" i="3" s="1"/>
  <c r="AD84" i="3"/>
  <c r="E96" i="3"/>
  <c r="F97" i="3" s="1"/>
  <c r="G98" i="3" s="1"/>
  <c r="H99" i="3" s="1"/>
  <c r="I100" i="3" s="1"/>
  <c r="J101" i="3" s="1"/>
  <c r="K102" i="3" s="1"/>
  <c r="L103" i="3" s="1"/>
  <c r="M104" i="3" s="1"/>
  <c r="N105" i="3" s="1"/>
  <c r="O106" i="3" s="1"/>
  <c r="P107" i="3" s="1"/>
  <c r="AD95" i="3"/>
  <c r="E74" i="3"/>
  <c r="F75" i="3" s="1"/>
  <c r="G76" i="3" s="1"/>
  <c r="H77" i="3" s="1"/>
  <c r="I78" i="3" s="1"/>
  <c r="J79" i="3" s="1"/>
  <c r="K80" i="3" s="1"/>
  <c r="L81" i="3" s="1"/>
  <c r="M82" i="3" s="1"/>
  <c r="N83" i="3" s="1"/>
  <c r="O84" i="3" s="1"/>
  <c r="P85" i="3" s="1"/>
  <c r="AD73" i="3"/>
  <c r="D107" i="3"/>
  <c r="C107" i="3"/>
  <c r="D118" i="3"/>
  <c r="C118" i="3"/>
  <c r="B108" i="3"/>
  <c r="D96" i="3"/>
  <c r="D74" i="3"/>
  <c r="B86" i="3"/>
  <c r="C86" i="3" s="1"/>
  <c r="B97" i="3"/>
  <c r="C97" i="3" s="1"/>
  <c r="D85" i="3"/>
  <c r="E75" i="3" l="1"/>
  <c r="F76" i="3" s="1"/>
  <c r="G77" i="3" s="1"/>
  <c r="H78" i="3" s="1"/>
  <c r="I79" i="3" s="1"/>
  <c r="J80" i="3" s="1"/>
  <c r="K81" i="3" s="1"/>
  <c r="L82" i="3" s="1"/>
  <c r="M83" i="3" s="1"/>
  <c r="N84" i="3" s="1"/>
  <c r="O85" i="3" s="1"/>
  <c r="P86" i="3" s="1"/>
  <c r="AD74" i="3"/>
  <c r="E86" i="3"/>
  <c r="F87" i="3" s="1"/>
  <c r="G88" i="3" s="1"/>
  <c r="H89" i="3" s="1"/>
  <c r="I90" i="3" s="1"/>
  <c r="J91" i="3" s="1"/>
  <c r="K92" i="3" s="1"/>
  <c r="L93" i="3" s="1"/>
  <c r="M94" i="3" s="1"/>
  <c r="N95" i="3" s="1"/>
  <c r="O96" i="3" s="1"/>
  <c r="P97" i="3" s="1"/>
  <c r="AD85" i="3"/>
  <c r="AD118" i="3"/>
  <c r="E97" i="3"/>
  <c r="F98" i="3" s="1"/>
  <c r="G99" i="3" s="1"/>
  <c r="H100" i="3" s="1"/>
  <c r="I101" i="3" s="1"/>
  <c r="J102" i="3" s="1"/>
  <c r="K103" i="3" s="1"/>
  <c r="L104" i="3" s="1"/>
  <c r="M105" i="3" s="1"/>
  <c r="N106" i="3" s="1"/>
  <c r="O107" i="3" s="1"/>
  <c r="P108" i="3" s="1"/>
  <c r="AD96" i="3"/>
  <c r="E108" i="3"/>
  <c r="F109" i="3" s="1"/>
  <c r="G110" i="3" s="1"/>
  <c r="H111" i="3" s="1"/>
  <c r="I112" i="3" s="1"/>
  <c r="J113" i="3" s="1"/>
  <c r="K114" i="3" s="1"/>
  <c r="L115" i="3" s="1"/>
  <c r="M116" i="3" s="1"/>
  <c r="N117" i="3" s="1"/>
  <c r="O118" i="3" s="1"/>
  <c r="AD107" i="3"/>
  <c r="D108" i="3"/>
  <c r="C108" i="3"/>
  <c r="B109" i="3"/>
  <c r="D97" i="3"/>
  <c r="B98" i="3"/>
  <c r="C98" i="3" s="1"/>
  <c r="D86" i="3"/>
  <c r="E109" i="3" l="1"/>
  <c r="F110" i="3" s="1"/>
  <c r="G111" i="3" s="1"/>
  <c r="H112" i="3" s="1"/>
  <c r="I113" i="3" s="1"/>
  <c r="J114" i="3" s="1"/>
  <c r="K115" i="3" s="1"/>
  <c r="L116" i="3" s="1"/>
  <c r="M117" i="3" s="1"/>
  <c r="N118" i="3" s="1"/>
  <c r="AD108" i="3"/>
  <c r="E98" i="3"/>
  <c r="F99" i="3" s="1"/>
  <c r="G100" i="3" s="1"/>
  <c r="H101" i="3" s="1"/>
  <c r="I102" i="3" s="1"/>
  <c r="J103" i="3" s="1"/>
  <c r="K104" i="3" s="1"/>
  <c r="L105" i="3" s="1"/>
  <c r="M106" i="3" s="1"/>
  <c r="N107" i="3" s="1"/>
  <c r="O108" i="3" s="1"/>
  <c r="P109" i="3" s="1"/>
  <c r="AD97" i="3"/>
  <c r="E87" i="3"/>
  <c r="F88" i="3" s="1"/>
  <c r="G89" i="3" s="1"/>
  <c r="H90" i="3" s="1"/>
  <c r="I91" i="3" s="1"/>
  <c r="J92" i="3" s="1"/>
  <c r="K93" i="3" s="1"/>
  <c r="L94" i="3" s="1"/>
  <c r="M95" i="3" s="1"/>
  <c r="N96" i="3" s="1"/>
  <c r="O97" i="3" s="1"/>
  <c r="P98" i="3" s="1"/>
  <c r="AD86" i="3"/>
  <c r="D109" i="3"/>
  <c r="C109" i="3"/>
  <c r="B110" i="3"/>
  <c r="D98" i="3"/>
  <c r="E110" i="3" l="1"/>
  <c r="F111" i="3" s="1"/>
  <c r="G112" i="3" s="1"/>
  <c r="H113" i="3" s="1"/>
  <c r="I114" i="3" s="1"/>
  <c r="J115" i="3" s="1"/>
  <c r="K116" i="3" s="1"/>
  <c r="L117" i="3" s="1"/>
  <c r="M118" i="3" s="1"/>
  <c r="AD109" i="3"/>
  <c r="E99" i="3"/>
  <c r="F100" i="3" s="1"/>
  <c r="G101" i="3" s="1"/>
  <c r="H102" i="3" s="1"/>
  <c r="I103" i="3" s="1"/>
  <c r="J104" i="3" s="1"/>
  <c r="K105" i="3" s="1"/>
  <c r="L106" i="3" s="1"/>
  <c r="M107" i="3" s="1"/>
  <c r="N108" i="3" s="1"/>
  <c r="O109" i="3" s="1"/>
  <c r="P110" i="3" s="1"/>
  <c r="AD98" i="3"/>
  <c r="D110" i="3"/>
  <c r="AA1" i="3" s="1"/>
  <c r="C110" i="3"/>
  <c r="V1" i="3" l="1"/>
  <c r="Y1" i="3"/>
  <c r="E111" i="3"/>
  <c r="F112" i="3" s="1"/>
  <c r="G113" i="3" s="1"/>
  <c r="H114" i="3" s="1"/>
  <c r="I115" i="3" s="1"/>
  <c r="J116" i="3" s="1"/>
  <c r="K117" i="3" s="1"/>
  <c r="L118" i="3" s="1"/>
  <c r="AD110" i="3"/>
  <c r="U1" i="3"/>
  <c r="AB1" i="3"/>
  <c r="T1" i="3"/>
  <c r="AC1" i="3"/>
  <c r="AG2" i="3"/>
  <c r="L21" i="4" s="1"/>
  <c r="AG1" i="3"/>
  <c r="AG4" i="3" s="1"/>
  <c r="W1" i="3"/>
  <c r="Z1" i="3"/>
  <c r="AF1" i="3"/>
  <c r="X1" i="3"/>
  <c r="R1" i="3"/>
  <c r="AF2" i="3"/>
  <c r="B21" i="4" s="1"/>
  <c r="S1" i="3"/>
  <c r="Q1" i="3"/>
  <c r="A21" i="4" l="1"/>
  <c r="AF4" i="3"/>
  <c r="B22" i="4" s="1"/>
  <c r="L22" i="4"/>
  <c r="L23" i="4" s="1"/>
  <c r="L24" i="4" s="1"/>
  <c r="L25" i="4" s="1"/>
  <c r="L26" i="4" s="1"/>
  <c r="L27" i="4" s="1"/>
  <c r="L28" i="4" s="1"/>
  <c r="L29" i="4" s="1"/>
  <c r="L30" i="4" s="1"/>
  <c r="L31" i="4" s="1"/>
  <c r="B23" i="4" l="1"/>
  <c r="A22" i="4"/>
  <c r="M21" i="4" a="1"/>
  <c r="M21" i="4" l="1"/>
  <c r="M28" i="4"/>
  <c r="M23" i="4"/>
  <c r="M31" i="4"/>
  <c r="M24" i="4"/>
  <c r="M27" i="4"/>
  <c r="M26" i="4"/>
  <c r="M29" i="4"/>
  <c r="M22" i="4"/>
  <c r="M30" i="4"/>
  <c r="M25" i="4"/>
  <c r="D21" i="4"/>
  <c r="B24" i="4"/>
  <c r="A23" i="4"/>
  <c r="D22" i="4" l="1"/>
  <c r="A24" i="4"/>
  <c r="B25" i="4"/>
  <c r="A25" i="4" l="1"/>
  <c r="B26" i="4"/>
  <c r="D24" i="4"/>
  <c r="D23" i="4"/>
  <c r="A26" i="4" l="1"/>
  <c r="B27" i="4"/>
  <c r="D25" i="4" l="1"/>
  <c r="B28" i="4"/>
  <c r="A27" i="4"/>
  <c r="B29" i="4" l="1"/>
  <c r="A28" i="4"/>
  <c r="D26" i="4"/>
  <c r="A29" i="4" l="1"/>
  <c r="B30" i="4"/>
  <c r="D27" i="4"/>
  <c r="A30" i="4" l="1"/>
  <c r="B31" i="4"/>
  <c r="D28" i="4"/>
  <c r="D30" i="4" l="1"/>
  <c r="A31" i="4"/>
  <c r="D31" i="4" s="1"/>
  <c r="C21" i="4" a="1"/>
  <c r="D29" i="4"/>
  <c r="C21" i="4" l="1"/>
  <c r="C24" i="4"/>
  <c r="C28" i="4"/>
  <c r="C29" i="4"/>
  <c r="C31" i="4"/>
  <c r="C27" i="4"/>
  <c r="C26" i="4"/>
  <c r="C30" i="4"/>
  <c r="C25" i="4"/>
  <c r="C23" i="4"/>
  <c r="C22" i="4"/>
</calcChain>
</file>

<file path=xl/sharedStrings.xml><?xml version="1.0" encoding="utf-8"?>
<sst xmlns="http://schemas.openxmlformats.org/spreadsheetml/2006/main" count="7074" uniqueCount="4367">
  <si>
    <t>First Name</t>
  </si>
  <si>
    <t>Last Name</t>
  </si>
  <si>
    <t>Company</t>
  </si>
  <si>
    <t>Position</t>
  </si>
  <si>
    <t>Connected On</t>
  </si>
  <si>
    <t>Ramesh</t>
  </si>
  <si>
    <t>Koneru</t>
  </si>
  <si>
    <t>Avakai Media</t>
  </si>
  <si>
    <t>Founder</t>
  </si>
  <si>
    <t>Subhransu</t>
  </si>
  <si>
    <t>Sahoo</t>
  </si>
  <si>
    <t>Microsoft</t>
  </si>
  <si>
    <t>Cloud Solution Architect - Analytics &amp; AI</t>
  </si>
  <si>
    <t>Vamsi Krishna Yadav</t>
  </si>
  <si>
    <t>Chukka</t>
  </si>
  <si>
    <t>Data Jango Technologies Pvt Ltd</t>
  </si>
  <si>
    <t>Data Science Trainee</t>
  </si>
  <si>
    <t>Shaun</t>
  </si>
  <si>
    <t>O'Shea</t>
  </si>
  <si>
    <t>Sigmar IT International</t>
  </si>
  <si>
    <t>Head of European Recruitment</t>
  </si>
  <si>
    <t>Gaurav</t>
  </si>
  <si>
    <t>Bansal</t>
  </si>
  <si>
    <t>Bank of America</t>
  </si>
  <si>
    <t>Vice President</t>
  </si>
  <si>
    <t>Sriganesh</t>
  </si>
  <si>
    <t>Balamurugan</t>
  </si>
  <si>
    <t>Tata Consultancy Services</t>
  </si>
  <si>
    <t>Technical Lead</t>
  </si>
  <si>
    <t>Arun</t>
  </si>
  <si>
    <t>Yamsani</t>
  </si>
  <si>
    <t>Deloitte</t>
  </si>
  <si>
    <t>Lead Solution Advisor</t>
  </si>
  <si>
    <t>Chandra</t>
  </si>
  <si>
    <t>Kopparapu</t>
  </si>
  <si>
    <t>Enterprise Project Manager</t>
  </si>
  <si>
    <t>Daniel</t>
  </si>
  <si>
    <t>Pakasa</t>
  </si>
  <si>
    <t>BNY Mellon</t>
  </si>
  <si>
    <t>Client Services Analyst</t>
  </si>
  <si>
    <t>SaiKumar</t>
  </si>
  <si>
    <t>Chintareddy</t>
  </si>
  <si>
    <t>UnitedHealth Group</t>
  </si>
  <si>
    <t>Director, BigData and Data Science</t>
  </si>
  <si>
    <t>Konda Reddy</t>
  </si>
  <si>
    <t>Yakkanti</t>
  </si>
  <si>
    <t>Reliance Jio</t>
  </si>
  <si>
    <t>Head Of Engineering</t>
  </si>
  <si>
    <t>Sridhar</t>
  </si>
  <si>
    <t>Subramanian</t>
  </si>
  <si>
    <t>Legato Health Technologies</t>
  </si>
  <si>
    <t>Talent Acquisition Manager</t>
  </si>
  <si>
    <t>Pawan</t>
  </si>
  <si>
    <t>Sachdeva</t>
  </si>
  <si>
    <t>Director Technology</t>
  </si>
  <si>
    <t>Salman</t>
  </si>
  <si>
    <t>Baig</t>
  </si>
  <si>
    <t>Novartis</t>
  </si>
  <si>
    <t>Talent Acquisition - Lateral Hiring</t>
  </si>
  <si>
    <t>Jaya Bharath</t>
  </si>
  <si>
    <t>P</t>
  </si>
  <si>
    <t>Dr. Reddy's Laboratories</t>
  </si>
  <si>
    <t>Lead - Business Talent Acquisition - (Global Manufacturing Organisation)</t>
  </si>
  <si>
    <t>Gowthami</t>
  </si>
  <si>
    <t>Veeravalli</t>
  </si>
  <si>
    <t>Cognizant</t>
  </si>
  <si>
    <t>Senior Analyst (BI Analytics)</t>
  </si>
  <si>
    <t>Pradeep</t>
  </si>
  <si>
    <t>Kumar</t>
  </si>
  <si>
    <t>PayPal</t>
  </si>
  <si>
    <t>Head of Strategic Initiatives</t>
  </si>
  <si>
    <t>Nandini</t>
  </si>
  <si>
    <t>Ghosh</t>
  </si>
  <si>
    <t>ISB Media Labs</t>
  </si>
  <si>
    <t>Project Manager</t>
  </si>
  <si>
    <t>Saket</t>
  </si>
  <si>
    <t>Ranjan</t>
  </si>
  <si>
    <t>Solution Specialist</t>
  </si>
  <si>
    <t>Shobana</t>
  </si>
  <si>
    <t>Muthukrishnan</t>
  </si>
  <si>
    <t>Senior Analyst</t>
  </si>
  <si>
    <t>Srinath</t>
  </si>
  <si>
    <t>Jangam</t>
  </si>
  <si>
    <t>L &amp; T Construction, Inc.</t>
  </si>
  <si>
    <t xml:space="preserve">Global Head of Advance Analytics </t>
  </si>
  <si>
    <t>Gautam</t>
  </si>
  <si>
    <t>Gorki</t>
  </si>
  <si>
    <t>DBS Bank</t>
  </si>
  <si>
    <t>Executive Director</t>
  </si>
  <si>
    <t>Sireesha</t>
  </si>
  <si>
    <t>EV</t>
  </si>
  <si>
    <t>Indian School of Business</t>
  </si>
  <si>
    <t>Webmaster, Digital &amp; Social Media Marketer</t>
  </si>
  <si>
    <t>Dr. ABDUL</t>
  </si>
  <si>
    <t>KHALIQ</t>
  </si>
  <si>
    <t>UMDAA Health Care</t>
  </si>
  <si>
    <t>CMD</t>
  </si>
  <si>
    <t>Uttam</t>
  </si>
  <si>
    <t>Phalnikar</t>
  </si>
  <si>
    <t>Simility</t>
  </si>
  <si>
    <t>Tribhuvan</t>
  </si>
  <si>
    <t>Gupta</t>
  </si>
  <si>
    <t>Altisource</t>
  </si>
  <si>
    <t>Growth Manager (Marketing and Marketing Analytics)</t>
  </si>
  <si>
    <t>Nitesh</t>
  </si>
  <si>
    <t>Mishra</t>
  </si>
  <si>
    <t>Senior Business Analyst</t>
  </si>
  <si>
    <t>Ambarish</t>
  </si>
  <si>
    <t>Dasgupta</t>
  </si>
  <si>
    <t>State Public Policy and Planning Board</t>
  </si>
  <si>
    <t>Member</t>
  </si>
  <si>
    <t>Siddharth</t>
  </si>
  <si>
    <t>Dialani</t>
  </si>
  <si>
    <t>LeanAgri</t>
  </si>
  <si>
    <t>Co-Founder</t>
  </si>
  <si>
    <t>Arpit</t>
  </si>
  <si>
    <t>Maheshwari</t>
  </si>
  <si>
    <t>Accenture</t>
  </si>
  <si>
    <t>Business &amp; Integration Arch. Team Lead</t>
  </si>
  <si>
    <t>sriya</t>
  </si>
  <si>
    <t>rachamalla</t>
  </si>
  <si>
    <t>Pablo</t>
  </si>
  <si>
    <t>Vargas</t>
  </si>
  <si>
    <t>Imply</t>
  </si>
  <si>
    <t>Business Consultant</t>
  </si>
  <si>
    <t>Tejo Raghava Mallik</t>
  </si>
  <si>
    <t>Divela</t>
  </si>
  <si>
    <t>Blue Icy Water</t>
  </si>
  <si>
    <t>Account Manager</t>
  </si>
  <si>
    <t>Dr. Aloknath</t>
  </si>
  <si>
    <t>De</t>
  </si>
  <si>
    <t>Samsung R&amp;D Institute India - Bangalore</t>
  </si>
  <si>
    <t>Corporate Vice President and Chief Technology Officer</t>
  </si>
  <si>
    <t>Vikram</t>
  </si>
  <si>
    <t>khaja</t>
  </si>
  <si>
    <t>vali</t>
  </si>
  <si>
    <t>Apotex Pharmachem Inc.</t>
  </si>
  <si>
    <t>Assistant Analyst</t>
  </si>
  <si>
    <t>Sri Ram Reddy</t>
  </si>
  <si>
    <t>Bhimavarapu</t>
  </si>
  <si>
    <t>Cigniti Technologies</t>
  </si>
  <si>
    <t>Senior Software Engineer</t>
  </si>
  <si>
    <t>Gauri</t>
  </si>
  <si>
    <t>Dhande</t>
  </si>
  <si>
    <t>Gaia Smart Cities</t>
  </si>
  <si>
    <t>Machine Learning Engineer</t>
  </si>
  <si>
    <t>Shlok</t>
  </si>
  <si>
    <t>Mittal</t>
  </si>
  <si>
    <t>Salesforce</t>
  </si>
  <si>
    <t>Senior Data Analyst, Security Analytics and Insights</t>
  </si>
  <si>
    <t>Aryan</t>
  </si>
  <si>
    <t>Arora</t>
  </si>
  <si>
    <t>Python Software Foundation</t>
  </si>
  <si>
    <t>Python Programmer</t>
  </si>
  <si>
    <t>Sunandan</t>
  </si>
  <si>
    <t>Madan</t>
  </si>
  <si>
    <t>Dhwani Rural Information Systems Pvt. Ltd.</t>
  </si>
  <si>
    <t>Cofounder</t>
  </si>
  <si>
    <t>Ashwin</t>
  </si>
  <si>
    <t>Kadkol</t>
  </si>
  <si>
    <t>GE Research</t>
  </si>
  <si>
    <t>Technology Manager - Physical Digital Analytics (Tech Ops Leader)</t>
  </si>
  <si>
    <t>Isaac</t>
  </si>
  <si>
    <t>Faber Ph.D.</t>
  </si>
  <si>
    <t>U.S. Army AI Task Force</t>
  </si>
  <si>
    <t>Chief Data Scientist</t>
  </si>
  <si>
    <t>Suvro Shankar</t>
  </si>
  <si>
    <t>Atos</t>
  </si>
  <si>
    <t>Data Scientist</t>
  </si>
  <si>
    <t>Swaroop</t>
  </si>
  <si>
    <t>Paliwal</t>
  </si>
  <si>
    <t>Xenon Automotive</t>
  </si>
  <si>
    <t>Nikunj</t>
  </si>
  <si>
    <t>Bhartia</t>
  </si>
  <si>
    <t>Google</t>
  </si>
  <si>
    <t>Strategic Cloud Data Engineer</t>
  </si>
  <si>
    <t>Tushar</t>
  </si>
  <si>
    <t>Baheti</t>
  </si>
  <si>
    <t xml:space="preserve">Enstrapp IT Solutions </t>
  </si>
  <si>
    <t>Country Head</t>
  </si>
  <si>
    <t>K  Abhinandu</t>
  </si>
  <si>
    <t>Reddy</t>
  </si>
  <si>
    <t>Vivaik</t>
  </si>
  <si>
    <t>Bharadwaaj</t>
  </si>
  <si>
    <t>myGate</t>
  </si>
  <si>
    <t>Co-founder</t>
  </si>
  <si>
    <t xml:space="preserve">SWAPNIL WADHWA,     </t>
  </si>
  <si>
    <t>Global Head IT BPE for Branded Generics</t>
  </si>
  <si>
    <t>Sr. Director &amp; Global Head- IT BPE, EMs &amp; India | Analytics | Digital | Transformation | Innovation|</t>
  </si>
  <si>
    <t>Beard</t>
  </si>
  <si>
    <t>The BAZ GROUP</t>
  </si>
  <si>
    <t>Software Developer</t>
  </si>
  <si>
    <t>Yash</t>
  </si>
  <si>
    <t>Software Engineer</t>
  </si>
  <si>
    <t>Vandana</t>
  </si>
  <si>
    <t>V.K.</t>
  </si>
  <si>
    <t>Senior Talent Partner - Global Talent Acquisition</t>
  </si>
  <si>
    <t>Naveen</t>
  </si>
  <si>
    <t>Srujana</t>
  </si>
  <si>
    <t>Nerella</t>
  </si>
  <si>
    <t>Tredence Inc.</t>
  </si>
  <si>
    <t>Business Analyst</t>
  </si>
  <si>
    <t>Shashank</t>
  </si>
  <si>
    <t>Dubey</t>
  </si>
  <si>
    <t>Co-founder &amp; Head Analytics Delivery</t>
  </si>
  <si>
    <t>Sudheer</t>
  </si>
  <si>
    <t>GMR Group</t>
  </si>
  <si>
    <t>Associate Manager Business Analytics</t>
  </si>
  <si>
    <t>Vishal</t>
  </si>
  <si>
    <t>Babani</t>
  </si>
  <si>
    <t>Simility Inc.</t>
  </si>
  <si>
    <t>Decision Scientist / Training Lead</t>
  </si>
  <si>
    <t>Roopam</t>
  </si>
  <si>
    <t>Upadhyay</t>
  </si>
  <si>
    <t>IFC - International Finance Corporation</t>
  </si>
  <si>
    <t>Banking Consultant - Data Science &amp; Predictive Analytics</t>
  </si>
  <si>
    <t>Gaidhani</t>
  </si>
  <si>
    <t>INTELLIBOT.IO - Robotic Process Automation</t>
  </si>
  <si>
    <t>Digital Strategy &amp; Transformation Advisor</t>
  </si>
  <si>
    <t>Marupati</t>
  </si>
  <si>
    <t>Data Science Authority</t>
  </si>
  <si>
    <t>Director</t>
  </si>
  <si>
    <t>prashant</t>
  </si>
  <si>
    <t>kumar</t>
  </si>
  <si>
    <t>GMR Group - GMR Hyderabad International Airport Ltd. (GHIAL)</t>
  </si>
  <si>
    <t>Lead - PR &amp; Communications</t>
  </si>
  <si>
    <t>Pratik</t>
  </si>
  <si>
    <t>Mohapatra</t>
  </si>
  <si>
    <t>Senior Microsoft Student Partner</t>
  </si>
  <si>
    <t>Devatha</t>
  </si>
  <si>
    <t>Franklin Templeton India</t>
  </si>
  <si>
    <t>Sweta</t>
  </si>
  <si>
    <t>Singh</t>
  </si>
  <si>
    <t>Human Resources</t>
  </si>
  <si>
    <t>Mukesh</t>
  </si>
  <si>
    <t>Bisht</t>
  </si>
  <si>
    <t>KPMG India</t>
  </si>
  <si>
    <t>Manager (Government Advisory)</t>
  </si>
  <si>
    <t>Saumyajit</t>
  </si>
  <si>
    <t>Recruitment Specialist</t>
  </si>
  <si>
    <t>Dinesh Kumar</t>
  </si>
  <si>
    <t>Murugesan</t>
  </si>
  <si>
    <t>DSM</t>
  </si>
  <si>
    <t>Head HR - India</t>
  </si>
  <si>
    <t>Kartik</t>
  </si>
  <si>
    <t>MBA Student</t>
  </si>
  <si>
    <t>Shankar</t>
  </si>
  <si>
    <t>Schneider Electric</t>
  </si>
  <si>
    <t>Platform Product Owner</t>
  </si>
  <si>
    <t>Santosh Kumar</t>
  </si>
  <si>
    <t>Katteti</t>
  </si>
  <si>
    <t>Cognizant Technology Solutions</t>
  </si>
  <si>
    <t>Talent Acquisition Group- Lateral Hiring for Infra Division</t>
  </si>
  <si>
    <t>Frederik</t>
  </si>
  <si>
    <t>Bussler</t>
  </si>
  <si>
    <t>bitgrit Inc.</t>
  </si>
  <si>
    <t>CEO</t>
  </si>
  <si>
    <t>Prashant</t>
  </si>
  <si>
    <t>Tibrewal</t>
  </si>
  <si>
    <t>ISBmantra / Admit Square Consulting</t>
  </si>
  <si>
    <t>Founder &amp; Mentor</t>
  </si>
  <si>
    <t>Rajendra</t>
  </si>
  <si>
    <t>Srivastava</t>
  </si>
  <si>
    <t>Dean</t>
  </si>
  <si>
    <t>chaitra</t>
  </si>
  <si>
    <t>E</t>
  </si>
  <si>
    <t>SocialPrachar.com</t>
  </si>
  <si>
    <t>Data Science Student</t>
  </si>
  <si>
    <t>Praveen</t>
  </si>
  <si>
    <t>Singireddy</t>
  </si>
  <si>
    <t>Innovapptive Inc</t>
  </si>
  <si>
    <t>Senoir Sales Executive</t>
  </si>
  <si>
    <t xml:space="preserve">Prudhvi </t>
  </si>
  <si>
    <t>Cherukuri</t>
  </si>
  <si>
    <t xml:space="preserve">Quadrant Resource </t>
  </si>
  <si>
    <t>Technical Team Lead</t>
  </si>
  <si>
    <t>Soumil</t>
  </si>
  <si>
    <t>Subha</t>
  </si>
  <si>
    <t>Self employed</t>
  </si>
  <si>
    <t>Student</t>
  </si>
  <si>
    <t>krushith</t>
  </si>
  <si>
    <t>reddy</t>
  </si>
  <si>
    <t>Hackboats</t>
  </si>
  <si>
    <t>Intern</t>
  </si>
  <si>
    <t>Satwick</t>
  </si>
  <si>
    <t>Bodduna</t>
  </si>
  <si>
    <t>BD</t>
  </si>
  <si>
    <t>Data Analyst</t>
  </si>
  <si>
    <t>SUDHIN</t>
  </si>
  <si>
    <t>HEGDE</t>
  </si>
  <si>
    <t>MAIORA IT Services &amp; Consulting Pvt. Ltd.</t>
  </si>
  <si>
    <t>Jayaraman</t>
  </si>
  <si>
    <t>Adani Ports and SEZ</t>
  </si>
  <si>
    <t>Head of Analytics</t>
  </si>
  <si>
    <t>Amit</t>
  </si>
  <si>
    <t>Rathi</t>
  </si>
  <si>
    <t>Booking.com</t>
  </si>
  <si>
    <t>Product Manager</t>
  </si>
  <si>
    <t>Avinash</t>
  </si>
  <si>
    <t>Kovvuri</t>
  </si>
  <si>
    <t>Wipro Data Analytics and AI</t>
  </si>
  <si>
    <t>Associate Consultant</t>
  </si>
  <si>
    <t>Dipti</t>
  </si>
  <si>
    <t>Vats</t>
  </si>
  <si>
    <t>Ex: Test Lead</t>
  </si>
  <si>
    <t>Erik</t>
  </si>
  <si>
    <t>Myers</t>
  </si>
  <si>
    <t>AlertOps</t>
  </si>
  <si>
    <t>Director of Sales</t>
  </si>
  <si>
    <t>Ombase</t>
  </si>
  <si>
    <t>Larsen &amp; Toubro Infotech Ltd</t>
  </si>
  <si>
    <t>Project Lead</t>
  </si>
  <si>
    <t>Rachit</t>
  </si>
  <si>
    <t>Macquarie University</t>
  </si>
  <si>
    <t>PHD Student</t>
  </si>
  <si>
    <t>Surenderan</t>
  </si>
  <si>
    <t>Easwaramoorthy</t>
  </si>
  <si>
    <t>Senior Researcher</t>
  </si>
  <si>
    <t>Puneet</t>
  </si>
  <si>
    <t>Gambhir</t>
  </si>
  <si>
    <t>Grab</t>
  </si>
  <si>
    <t>Analytics Lead - User Trust</t>
  </si>
  <si>
    <t>Akmal</t>
  </si>
  <si>
    <t>Mirzaev</t>
  </si>
  <si>
    <t>Freelance</t>
  </si>
  <si>
    <t>Excel Expert</t>
  </si>
  <si>
    <t>Nagaraju</t>
  </si>
  <si>
    <t>Yellanki</t>
  </si>
  <si>
    <t>RDF Power Projects Limited</t>
  </si>
  <si>
    <t>Hadelin</t>
  </si>
  <si>
    <t>de Ponteves</t>
  </si>
  <si>
    <t>BlueLife AI</t>
  </si>
  <si>
    <t>Co-Founder &amp; Director</t>
  </si>
  <si>
    <t>Rakesh</t>
  </si>
  <si>
    <t>Kondra</t>
  </si>
  <si>
    <t>Saycheez Solutions Pvt Ltd</t>
  </si>
  <si>
    <t>Ceo</t>
  </si>
  <si>
    <t>Madhukar</t>
  </si>
  <si>
    <t>Shine.com</t>
  </si>
  <si>
    <t>Chief Analytics Officer</t>
  </si>
  <si>
    <t>Chhagani</t>
  </si>
  <si>
    <t>Vendor Manager</t>
  </si>
  <si>
    <t>Vamshi Krishna</t>
  </si>
  <si>
    <t>Bolloju</t>
  </si>
  <si>
    <t>Senior Analyst / Project Manager (ITS)</t>
  </si>
  <si>
    <t>Manasa</t>
  </si>
  <si>
    <t>Pothireddy</t>
  </si>
  <si>
    <t>Orbees Medical</t>
  </si>
  <si>
    <t>Sr Consultant</t>
  </si>
  <si>
    <t>Prashanth</t>
  </si>
  <si>
    <t>Koduganty</t>
  </si>
  <si>
    <t>Optum Global Solutions</t>
  </si>
  <si>
    <t>Director Process Excellence</t>
  </si>
  <si>
    <t>Ayushi</t>
  </si>
  <si>
    <t>Schneider Electric India Pvt. Limited</t>
  </si>
  <si>
    <t>Prashanth Mohan</t>
  </si>
  <si>
    <t>Sangem</t>
  </si>
  <si>
    <t>Assistant Consultant</t>
  </si>
  <si>
    <t>Harini</t>
  </si>
  <si>
    <t>Nagendra</t>
  </si>
  <si>
    <t>Azim Premji University</t>
  </si>
  <si>
    <t>Professor</t>
  </si>
  <si>
    <t>Rajesh</t>
  </si>
  <si>
    <t>Rangaswamy</t>
  </si>
  <si>
    <t>Informatica</t>
  </si>
  <si>
    <t>Manager</t>
  </si>
  <si>
    <t>sumanjeet</t>
  </si>
  <si>
    <t>kaur</t>
  </si>
  <si>
    <t>E2E Networks Limited</t>
  </si>
  <si>
    <t xml:space="preserve">Cloud Evangelist </t>
  </si>
  <si>
    <t>Sangeetha</t>
  </si>
  <si>
    <t>mahender</t>
  </si>
  <si>
    <t>Avira Digital</t>
  </si>
  <si>
    <t>IT Recruiter</t>
  </si>
  <si>
    <t>Raashi</t>
  </si>
  <si>
    <t>Hasteer</t>
  </si>
  <si>
    <t>HSBC</t>
  </si>
  <si>
    <t>Credit Risk Analyst</t>
  </si>
  <si>
    <t>Irshad Hussain</t>
  </si>
  <si>
    <t>Jaipuri</t>
  </si>
  <si>
    <t>Senior Product Specialist</t>
  </si>
  <si>
    <t>Sharma</t>
  </si>
  <si>
    <t>Anand</t>
  </si>
  <si>
    <t>Yadav</t>
  </si>
  <si>
    <t>Business &amp; Integration Architecture Manager</t>
  </si>
  <si>
    <t>Robin</t>
  </si>
  <si>
    <t>Thakur</t>
  </si>
  <si>
    <t>EY</t>
  </si>
  <si>
    <t>Senior Associate</t>
  </si>
  <si>
    <t>Akshay Ravindra</t>
  </si>
  <si>
    <t>Kolle</t>
  </si>
  <si>
    <t>Kolle &amp; Kolle Law Firm</t>
  </si>
  <si>
    <t>Consulting Director</t>
  </si>
  <si>
    <t>Ankit</t>
  </si>
  <si>
    <t>Etisalat</t>
  </si>
  <si>
    <t>Solution Architect</t>
  </si>
  <si>
    <t>Deepak</t>
  </si>
  <si>
    <t>Ghodke</t>
  </si>
  <si>
    <t>Bristlecone</t>
  </si>
  <si>
    <t>Janakiram</t>
  </si>
  <si>
    <t>MSV</t>
  </si>
  <si>
    <t>Janakiram &amp; Associates</t>
  </si>
  <si>
    <t>Principal</t>
  </si>
  <si>
    <t>Sandeep</t>
  </si>
  <si>
    <t>Maram</t>
  </si>
  <si>
    <t>Hitachi Vantara</t>
  </si>
  <si>
    <t>Sukriti</t>
  </si>
  <si>
    <t>GMR Hyderabad International Airport Ltd</t>
  </si>
  <si>
    <t>AOCC Intern</t>
  </si>
  <si>
    <t>Mahajan</t>
  </si>
  <si>
    <t>Apple</t>
  </si>
  <si>
    <t>Senior Business Intelligence</t>
  </si>
  <si>
    <t>Y Lakshmi Prasad</t>
  </si>
  <si>
    <t>(Machine Learning, AI, Deep Learning, NLP)</t>
  </si>
  <si>
    <t>Consultant / Independent</t>
  </si>
  <si>
    <t>Consultant, Corporate Trainer- Data Analytics, Machine Learning</t>
  </si>
  <si>
    <t>HARISH KUMAR</t>
  </si>
  <si>
    <t>KADLI</t>
  </si>
  <si>
    <t>Bank of America Merrill Lynch</t>
  </si>
  <si>
    <t>Assistant Manager</t>
  </si>
  <si>
    <t>Nissim</t>
  </si>
  <si>
    <t>Dokey</t>
  </si>
  <si>
    <t>App Orchid Inc</t>
  </si>
  <si>
    <t>Product Management</t>
  </si>
  <si>
    <t>Prasad</t>
  </si>
  <si>
    <t>M</t>
  </si>
  <si>
    <t>Sr. Staffing</t>
  </si>
  <si>
    <t>Haresh</t>
  </si>
  <si>
    <t>Purswani</t>
  </si>
  <si>
    <t>Gecko Worldwide</t>
  </si>
  <si>
    <t>Sr Manager-Strategic Business Units</t>
  </si>
  <si>
    <t>Raghu</t>
  </si>
  <si>
    <t>Jaini</t>
  </si>
  <si>
    <t>EMPIREINDUSTRIAL EQUIPMENT,A DIVISION OF EMPIRE INDUSTRIES LIMITED</t>
  </si>
  <si>
    <t>Vice President-Oil and Gas business</t>
  </si>
  <si>
    <t>Abdul</t>
  </si>
  <si>
    <t>Gafoor</t>
  </si>
  <si>
    <t>Qentelli</t>
  </si>
  <si>
    <t>Lead TAG</t>
  </si>
  <si>
    <t>Supti Kanta</t>
  </si>
  <si>
    <t>Amazon</t>
  </si>
  <si>
    <t>Maheshwary</t>
  </si>
  <si>
    <t>Machine Learning Scientist</t>
  </si>
  <si>
    <t>Durgaprasad</t>
  </si>
  <si>
    <t xml:space="preserve">M               </t>
  </si>
  <si>
    <t>Bluenet</t>
  </si>
  <si>
    <t>Director, Head of Automation &amp; Robotics</t>
  </si>
  <si>
    <t>Sachin</t>
  </si>
  <si>
    <t>Raghuchandra (SR)</t>
  </si>
  <si>
    <t>Nutrien</t>
  </si>
  <si>
    <t>Senior Project Manager</t>
  </si>
  <si>
    <t>Poornima</t>
  </si>
  <si>
    <t>Ramaswamy</t>
  </si>
  <si>
    <t>VP, AI &amp; Analytics - Cognizant Digital Business</t>
  </si>
  <si>
    <t>Utkarsh</t>
  </si>
  <si>
    <t>Pramod Gupta</t>
  </si>
  <si>
    <t>OYO</t>
  </si>
  <si>
    <t>Javascript Engineer</t>
  </si>
  <si>
    <t>Madire</t>
  </si>
  <si>
    <t>Test Triangle</t>
  </si>
  <si>
    <t>Founder/CEO</t>
  </si>
  <si>
    <t>Khare</t>
  </si>
  <si>
    <t>Service Delivery Manager-Process Excellence @ Google Adwords &amp; Google My Business(Client)</t>
  </si>
  <si>
    <t>Mayur</t>
  </si>
  <si>
    <t>Lakudkar</t>
  </si>
  <si>
    <t>NetElixir</t>
  </si>
  <si>
    <t>Account Planner</t>
  </si>
  <si>
    <t>Raghunath</t>
  </si>
  <si>
    <t>Pentela</t>
  </si>
  <si>
    <t>Essar Steel</t>
  </si>
  <si>
    <t>Manager Process Automation</t>
  </si>
  <si>
    <t>Pothuganti</t>
  </si>
  <si>
    <t>GE Appliances, a Haier Company</t>
  </si>
  <si>
    <t>Senior Oracle Apps/EBS ERP SCM Functional Consultant</t>
  </si>
  <si>
    <t>Fylstra</t>
  </si>
  <si>
    <t>Frontline Systems, Inc.</t>
  </si>
  <si>
    <t>President</t>
  </si>
  <si>
    <t>Abhay</t>
  </si>
  <si>
    <t>Kulkarni</t>
  </si>
  <si>
    <t>Mphasis</t>
  </si>
  <si>
    <t>Sr. Anti Money Laundering Officer/ Sr. Transaction Processing Officer/ Sr. Fraud Analyst</t>
  </si>
  <si>
    <t>Dilip</t>
  </si>
  <si>
    <t>Sanchora</t>
  </si>
  <si>
    <t>Wavelabs Technologies</t>
  </si>
  <si>
    <t>Sr. Test Architect</t>
  </si>
  <si>
    <t>Balaji</t>
  </si>
  <si>
    <t>Venktesh</t>
  </si>
  <si>
    <t>Senior Associate - Data Science</t>
  </si>
  <si>
    <t>Kalyan</t>
  </si>
  <si>
    <t>Sarvepalli</t>
  </si>
  <si>
    <t>Infosys</t>
  </si>
  <si>
    <t>Senior SAP BI Consultant</t>
  </si>
  <si>
    <t>Dhanashri</t>
  </si>
  <si>
    <t>Nair</t>
  </si>
  <si>
    <t>CSC</t>
  </si>
  <si>
    <t>2012 to till date</t>
  </si>
  <si>
    <t>Baldwa</t>
  </si>
  <si>
    <t>Finastra</t>
  </si>
  <si>
    <t>Director Engineering (R&amp;D)</t>
  </si>
  <si>
    <t>Mahesh</t>
  </si>
  <si>
    <t>Kanakam</t>
  </si>
  <si>
    <t>Capgemini</t>
  </si>
  <si>
    <t>Consultant</t>
  </si>
  <si>
    <t>Babu Rajendra</t>
  </si>
  <si>
    <t>GEP Worldwide</t>
  </si>
  <si>
    <t>Director - Engg</t>
  </si>
  <si>
    <t>Surya</t>
  </si>
  <si>
    <t>Sista</t>
  </si>
  <si>
    <t>Tech Mahindra</t>
  </si>
  <si>
    <t>Service Delivery Manager</t>
  </si>
  <si>
    <t>Pooja</t>
  </si>
  <si>
    <t>Adobe</t>
  </si>
  <si>
    <t>Computer Scientist</t>
  </si>
  <si>
    <t>Suresh</t>
  </si>
  <si>
    <t>Balla</t>
  </si>
  <si>
    <t>JDA Software</t>
  </si>
  <si>
    <t>Sr Project Manager</t>
  </si>
  <si>
    <t>Sudhir</t>
  </si>
  <si>
    <t>Voleti</t>
  </si>
  <si>
    <t>Associate Professor</t>
  </si>
  <si>
    <t>Foo</t>
  </si>
  <si>
    <t>Head of Corporate IT</t>
  </si>
  <si>
    <t>Tripti</t>
  </si>
  <si>
    <t>Dash</t>
  </si>
  <si>
    <t>Amazon Web Services</t>
  </si>
  <si>
    <t>HR Business Partner</t>
  </si>
  <si>
    <t>Ashish</t>
  </si>
  <si>
    <t>Ramtekkar</t>
  </si>
  <si>
    <t>COGNIZANT TECHNOLOGY SOLUTIONS INDIA PRIVATE LIMITED</t>
  </si>
  <si>
    <t>Project Associate</t>
  </si>
  <si>
    <t>Santosh</t>
  </si>
  <si>
    <t>Modi</t>
  </si>
  <si>
    <t>Virtusa</t>
  </si>
  <si>
    <t>QA Manager</t>
  </si>
  <si>
    <t>Rishitha</t>
  </si>
  <si>
    <t>Jain</t>
  </si>
  <si>
    <t>Confidential</t>
  </si>
  <si>
    <t>Bala</t>
  </si>
  <si>
    <t>Bairapaka</t>
  </si>
  <si>
    <t>Fora AB</t>
  </si>
  <si>
    <t>Senior IBM API Connect and IIB Consultant</t>
  </si>
  <si>
    <t>Sudha Rani</t>
  </si>
  <si>
    <t>Edupuganti</t>
  </si>
  <si>
    <t>Process Consultant- Quality</t>
  </si>
  <si>
    <t>Sharath Chandra</t>
  </si>
  <si>
    <t>Samala</t>
  </si>
  <si>
    <t>Data Engineer</t>
  </si>
  <si>
    <t>Sadhana</t>
  </si>
  <si>
    <t>Kotian</t>
  </si>
  <si>
    <t>Business Development Manager</t>
  </si>
  <si>
    <t>Goel</t>
  </si>
  <si>
    <t>Bio-Rad Laboratories</t>
  </si>
  <si>
    <t>Shubhendra</t>
  </si>
  <si>
    <t>Vatsa</t>
  </si>
  <si>
    <t>Tony</t>
  </si>
  <si>
    <t>Morgan</t>
  </si>
  <si>
    <t>Leeds University Business School</t>
  </si>
  <si>
    <t>Associate Professor in Innovation Management Practice</t>
  </si>
  <si>
    <t>Kashyap</t>
  </si>
  <si>
    <t>Iyer</t>
  </si>
  <si>
    <t>upGrad.com</t>
  </si>
  <si>
    <t>Sr. Content Strategist</t>
  </si>
  <si>
    <t>Simon</t>
  </si>
  <si>
    <t>Brown</t>
  </si>
  <si>
    <t>Chief Learning Officer</t>
  </si>
  <si>
    <t>Ram</t>
  </si>
  <si>
    <t>Narayan</t>
  </si>
  <si>
    <t>PwC IT Services Europe GmbH</t>
  </si>
  <si>
    <t>Full Stack Developer-Senior Associate</t>
  </si>
  <si>
    <t>Vijay</t>
  </si>
  <si>
    <t>Chinchole</t>
  </si>
  <si>
    <t>SanDiskÂ®</t>
  </si>
  <si>
    <t>Senior Manager</t>
  </si>
  <si>
    <t>Stuti</t>
  </si>
  <si>
    <t>Jindal</t>
  </si>
  <si>
    <t>Data Engineer II</t>
  </si>
  <si>
    <t>Oracle</t>
  </si>
  <si>
    <t>Sr. Data Scientist</t>
  </si>
  <si>
    <t>Gatty</t>
  </si>
  <si>
    <t>Software Engineering Lead</t>
  </si>
  <si>
    <t>Bharath</t>
  </si>
  <si>
    <t>Chetty</t>
  </si>
  <si>
    <t>Redpawns</t>
  </si>
  <si>
    <t>Roney</t>
  </si>
  <si>
    <t>Smith</t>
  </si>
  <si>
    <t>The Next Mint formerly TNL Communications Corporation</t>
  </si>
  <si>
    <t>Zafar</t>
  </si>
  <si>
    <t>KartzHub</t>
  </si>
  <si>
    <t>Partner Program | Senior Customer Advisor</t>
  </si>
  <si>
    <t>Apoorva</t>
  </si>
  <si>
    <t>Nigam</t>
  </si>
  <si>
    <t>Mike</t>
  </si>
  <si>
    <t>Tamir, PhD</t>
  </si>
  <si>
    <t>Susquehanna International Group, LLP (SIG)</t>
  </si>
  <si>
    <t>Chief ML Scientist, Head of Machine Learning/AI</t>
  </si>
  <si>
    <t>Priyanshu</t>
  </si>
  <si>
    <t>N</t>
  </si>
  <si>
    <t>Mateusz</t>
  </si>
  <si>
    <t>Kubis</t>
  </si>
  <si>
    <t>Process Quality Manager</t>
  </si>
  <si>
    <t>Rishabh</t>
  </si>
  <si>
    <t>Jetstar Airways</t>
  </si>
  <si>
    <t>Senior Data Scientist</t>
  </si>
  <si>
    <t>Celine</t>
  </si>
  <si>
    <t>Herweijer</t>
  </si>
  <si>
    <t>PwC</t>
  </si>
  <si>
    <t>Partner</t>
  </si>
  <si>
    <t>Tinniam V</t>
  </si>
  <si>
    <t>Ganesh (TV)</t>
  </si>
  <si>
    <t>IBM</t>
  </si>
  <si>
    <t>Big Data Engineer &amp; Scientist, GTS Labs</t>
  </si>
  <si>
    <t>Abhijay</t>
  </si>
  <si>
    <t>Vuyyuuru</t>
  </si>
  <si>
    <t>Hilti Group</t>
  </si>
  <si>
    <t>Sheba</t>
  </si>
  <si>
    <t>Naim</t>
  </si>
  <si>
    <t>Accenture Digital</t>
  </si>
  <si>
    <t xml:space="preserve">Applied Intelligence | Digital Analytics Consultant </t>
  </si>
  <si>
    <t>Sheetal</t>
  </si>
  <si>
    <t>Basnal</t>
  </si>
  <si>
    <t xml:space="preserve">Oorwin Labs </t>
  </si>
  <si>
    <t>Manager- Human Resources</t>
  </si>
  <si>
    <t>Eric</t>
  </si>
  <si>
    <t>Arnold</t>
  </si>
  <si>
    <t>Planswell</t>
  </si>
  <si>
    <t>Avijeet</t>
  </si>
  <si>
    <t>RBS</t>
  </si>
  <si>
    <t>Associate Vice President</t>
  </si>
  <si>
    <t>Pavan Reddy</t>
  </si>
  <si>
    <t>Gottimukkula</t>
  </si>
  <si>
    <t>ZeMoSo Technologies</t>
  </si>
  <si>
    <t>Deepika</t>
  </si>
  <si>
    <t>Bhatnagar</t>
  </si>
  <si>
    <t>Star TV Network</t>
  </si>
  <si>
    <t>Talent Acquisition - Star India</t>
  </si>
  <si>
    <t>Dr. Tristan</t>
  </si>
  <si>
    <t>Behrens (AI Guru)</t>
  </si>
  <si>
    <t>AI Guru</t>
  </si>
  <si>
    <t>Data Science and AI Educator, Researcher, Engineer (available for projects and trainings)</t>
  </si>
  <si>
    <t>Mark</t>
  </si>
  <si>
    <t>Rice</t>
  </si>
  <si>
    <t>thebigword</t>
  </si>
  <si>
    <t>Chief Information Officer</t>
  </si>
  <si>
    <t>Ranadheer</t>
  </si>
  <si>
    <t>Jeedimatla</t>
  </si>
  <si>
    <t>Academic Associate</t>
  </si>
  <si>
    <t>Yugansh</t>
  </si>
  <si>
    <t>Chokra (çŽ‰å¹²çŸ³)</t>
  </si>
  <si>
    <t>ShopNani</t>
  </si>
  <si>
    <t>Aisling</t>
  </si>
  <si>
    <t>O'Donovan</t>
  </si>
  <si>
    <t>Business Intelligence &amp; Data Science Recruitment Specialist</t>
  </si>
  <si>
    <t>Vincent</t>
  </si>
  <si>
    <t>Boucher</t>
  </si>
  <si>
    <t>MONTREAL.AI</t>
  </si>
  <si>
    <t>President, Founding Chairman and Chief Executive Officer</t>
  </si>
  <si>
    <t>AMIT</t>
  </si>
  <si>
    <t>SHEKHAR</t>
  </si>
  <si>
    <t>AfterAcademy</t>
  </si>
  <si>
    <t xml:space="preserve">Manikanta </t>
  </si>
  <si>
    <t>Alapati</t>
  </si>
  <si>
    <t>Pavani</t>
  </si>
  <si>
    <t>Marepally</t>
  </si>
  <si>
    <t>Lead Quality Assurance -Process</t>
  </si>
  <si>
    <t>Associate</t>
  </si>
  <si>
    <t>Akshay</t>
  </si>
  <si>
    <t>Ginodia</t>
  </si>
  <si>
    <t>Content Strategist</t>
  </si>
  <si>
    <t>Agrawal</t>
  </si>
  <si>
    <t>Deloitte India</t>
  </si>
  <si>
    <t>Senior Consultant</t>
  </si>
  <si>
    <t>Ankur</t>
  </si>
  <si>
    <t>Badonia</t>
  </si>
  <si>
    <t>ITC Limited</t>
  </si>
  <si>
    <t>Manager, Process Excellence</t>
  </si>
  <si>
    <t>Samuel</t>
  </si>
  <si>
    <t>ZÃ¼rcher [MVP]</t>
  </si>
  <si>
    <t>EXPERTS INSIDE</t>
  </si>
  <si>
    <t>Collaboration Expert / Partner</t>
  </si>
  <si>
    <t>Manoj</t>
  </si>
  <si>
    <t>Patel</t>
  </si>
  <si>
    <t>Accenture AI</t>
  </si>
  <si>
    <t>AI/ML Tech Lead</t>
  </si>
  <si>
    <t>Paresh</t>
  </si>
  <si>
    <t>Chauhan</t>
  </si>
  <si>
    <t>Human Resource Operations</t>
  </si>
  <si>
    <t>Shivendra</t>
  </si>
  <si>
    <t>Bhardwaj</t>
  </si>
  <si>
    <t>National Research Council Canada / Conseil national de recherches Canada</t>
  </si>
  <si>
    <t>Intern, Digital Technologies</t>
  </si>
  <si>
    <t>Naresh</t>
  </si>
  <si>
    <t>Pulipati</t>
  </si>
  <si>
    <t>Ankita</t>
  </si>
  <si>
    <t>Saraf</t>
  </si>
  <si>
    <t>Business Performance Analyst</t>
  </si>
  <si>
    <t>Asesh</t>
  </si>
  <si>
    <t>Datta</t>
  </si>
  <si>
    <t>ETechguys Software Training Institute</t>
  </si>
  <si>
    <t>Center Director</t>
  </si>
  <si>
    <t>Ani</t>
  </si>
  <si>
    <t>Samajpati</t>
  </si>
  <si>
    <t>Boston Consulting Group (BCG)</t>
  </si>
  <si>
    <t xml:space="preserve">Regional Recruiter </t>
  </si>
  <si>
    <t>snehanshu</t>
  </si>
  <si>
    <t>sengupta</t>
  </si>
  <si>
    <t>Sravanthi</t>
  </si>
  <si>
    <t>Parsi</t>
  </si>
  <si>
    <t>PXP Financial</t>
  </si>
  <si>
    <t>Assistant Manager- Admin and HR</t>
  </si>
  <si>
    <t>Kapur</t>
  </si>
  <si>
    <t>TransUnion CIBIL Limited</t>
  </si>
  <si>
    <t>Vice President &amp; Head - Strategy &amp; Planning</t>
  </si>
  <si>
    <t>Keerthi</t>
  </si>
  <si>
    <t>Yaddalapudi</t>
  </si>
  <si>
    <t>Absika Solutions</t>
  </si>
  <si>
    <t>Satya</t>
  </si>
  <si>
    <t>Mallick</t>
  </si>
  <si>
    <t>OpenCV</t>
  </si>
  <si>
    <t>Interim CEO</t>
  </si>
  <si>
    <t>â•°Â»kranthi</t>
  </si>
  <si>
    <t>kishore</t>
  </si>
  <si>
    <t>Sri Krishna Pharmaceuticals Ltd.</t>
  </si>
  <si>
    <t>Senior Executive</t>
  </si>
  <si>
    <t>Bhaskar</t>
  </si>
  <si>
    <t>Gangipamula</t>
  </si>
  <si>
    <t>Quadrant Resource LLC</t>
  </si>
  <si>
    <t>Ai</t>
  </si>
  <si>
    <t>Sara</t>
  </si>
  <si>
    <t>AiSara</t>
  </si>
  <si>
    <t>Algorithmist</t>
  </si>
  <si>
    <t>Mohamad Zaim</t>
  </si>
  <si>
    <t>Awang Pon</t>
  </si>
  <si>
    <t>Invigour Energy</t>
  </si>
  <si>
    <t>Reservoir Engineering Consultant and Artificial Intelligence Algorithmist</t>
  </si>
  <si>
    <t>Santhosh</t>
  </si>
  <si>
    <t>Karnati</t>
  </si>
  <si>
    <t>Anthem, Inc.</t>
  </si>
  <si>
    <t>Test Automation Architect</t>
  </si>
  <si>
    <t>Navtej</t>
  </si>
  <si>
    <t>Hir</t>
  </si>
  <si>
    <t>Senior Director</t>
  </si>
  <si>
    <t>Sri Charan</t>
  </si>
  <si>
    <t>Lakkaraju</t>
  </si>
  <si>
    <t>Atal Innovation Mission</t>
  </si>
  <si>
    <t>Mentor of Change</t>
  </si>
  <si>
    <t>SreeKanth</t>
  </si>
  <si>
    <t>Indraganti</t>
  </si>
  <si>
    <t>AINS, Inc.</t>
  </si>
  <si>
    <t>Software Test Manager</t>
  </si>
  <si>
    <t>Srinivasan</t>
  </si>
  <si>
    <t>FORMCEPT</t>
  </si>
  <si>
    <t>jayashree</t>
  </si>
  <si>
    <t>moharana</t>
  </si>
  <si>
    <t>Petrochemistry and Chemical Engineering Conferences</t>
  </si>
  <si>
    <t>Program Manager</t>
  </si>
  <si>
    <t>Manish</t>
  </si>
  <si>
    <t>Bhattacharjee</t>
  </si>
  <si>
    <t>Program Manager - Campus and Special Projects</t>
  </si>
  <si>
    <t>Gajjala</t>
  </si>
  <si>
    <t>OneVisage</t>
  </si>
  <si>
    <t>Business Development Director, EMEA &amp; Asia</t>
  </si>
  <si>
    <t xml:space="preserve">Dr. Niket Bhargava </t>
  </si>
  <si>
    <t>(PhD. MTech. BE. - CSE)</t>
  </si>
  <si>
    <t>Kanerika Software</t>
  </si>
  <si>
    <t>Jay</t>
  </si>
  <si>
    <t>(Jayaprakash GC)</t>
  </si>
  <si>
    <t>RGF Executive Search</t>
  </si>
  <si>
    <t>Board Member and Executive Director</t>
  </si>
  <si>
    <t>sabine</t>
  </si>
  <si>
    <t>heissner</t>
  </si>
  <si>
    <t>ich unternehme permanent</t>
  </si>
  <si>
    <t>Optimistin</t>
  </si>
  <si>
    <t>Kiran</t>
  </si>
  <si>
    <t>k</t>
  </si>
  <si>
    <t>Xilinx</t>
  </si>
  <si>
    <t>IC Design Engineering Manager</t>
  </si>
  <si>
    <t>Arup</t>
  </si>
  <si>
    <t>Banerjee</t>
  </si>
  <si>
    <t>Shell</t>
  </si>
  <si>
    <t>Tanvi</t>
  </si>
  <si>
    <t>Puspendra</t>
  </si>
  <si>
    <t>Syed</t>
  </si>
  <si>
    <t>Aamer</t>
  </si>
  <si>
    <t>Solenis</t>
  </si>
  <si>
    <t>Senior Lead - Analytics</t>
  </si>
  <si>
    <t>Sasikala</t>
  </si>
  <si>
    <t>Nagireddy</t>
  </si>
  <si>
    <t>Rolls-Royce</t>
  </si>
  <si>
    <t>Anurag</t>
  </si>
  <si>
    <t>Velidhi</t>
  </si>
  <si>
    <t>Team Manager</t>
  </si>
  <si>
    <t>Adrian</t>
  </si>
  <si>
    <t>Clarke Data Analytics Recruitment Leader ðŸ“ŠðŸŒ ðŸ€</t>
  </si>
  <si>
    <t>IT Search and Selection</t>
  </si>
  <si>
    <t>Head of Analytics Recruitment | Managing Consultant +353(0)871146347 | Data Analytics Recruitment</t>
  </si>
  <si>
    <t>Nikhil</t>
  </si>
  <si>
    <t>Dwarakanath</t>
  </si>
  <si>
    <t>Head Of Analytics</t>
  </si>
  <si>
    <t>Denis</t>
  </si>
  <si>
    <t>Vorotyntsev</t>
  </si>
  <si>
    <t>VTT</t>
  </si>
  <si>
    <t>Research Data Scientist</t>
  </si>
  <si>
    <t>Marleen</t>
  </si>
  <si>
    <t>Meier</t>
  </si>
  <si>
    <t>Global Clearing Firm</t>
  </si>
  <si>
    <t>Assistant Vice President Risk Analytics &amp; Reporting</t>
  </si>
  <si>
    <t>Gurubaran</t>
  </si>
  <si>
    <t>Gnanasekaran</t>
  </si>
  <si>
    <t>Mindtree Ltd.</t>
  </si>
  <si>
    <t>Technical Recruiter</t>
  </si>
  <si>
    <t>Tripathi</t>
  </si>
  <si>
    <t>Allianz Global Corporate &amp; Specialty (AGCS)</t>
  </si>
  <si>
    <t>Peter</t>
  </si>
  <si>
    <t>Urbani</t>
  </si>
  <si>
    <t>Sanlam Investments</t>
  </si>
  <si>
    <t>Head of Portfolio Construction</t>
  </si>
  <si>
    <t>Atul</t>
  </si>
  <si>
    <t>Segment Lead, Customer Analytics &amp; Product Control, CPB D&amp;A</t>
  </si>
  <si>
    <t>Sameer</t>
  </si>
  <si>
    <t>Mehta</t>
  </si>
  <si>
    <t>MyGate</t>
  </si>
  <si>
    <t>Head Of Marketing</t>
  </si>
  <si>
    <t>Himanshu</t>
  </si>
  <si>
    <t>Warudkar</t>
  </si>
  <si>
    <t>NatWest Markets</t>
  </si>
  <si>
    <t>Director - Global Head of Operations Technology and Client Technology - India, NatWest Markets</t>
  </si>
  <si>
    <t>Innoplexus AG</t>
  </si>
  <si>
    <t>Co-founder and Chief Technology Officer</t>
  </si>
  <si>
    <t>Sreedhar</t>
  </si>
  <si>
    <t xml:space="preserve">Danda </t>
  </si>
  <si>
    <t>Quacus</t>
  </si>
  <si>
    <t>Director - Testing Delivery</t>
  </si>
  <si>
    <t>Sai Manish</t>
  </si>
  <si>
    <t>Wells Fargo</t>
  </si>
  <si>
    <t>Systems Development Engineer</t>
  </si>
  <si>
    <t>Akash</t>
  </si>
  <si>
    <t>Gadiya</t>
  </si>
  <si>
    <t>Deloitte India (Offices of the US)</t>
  </si>
  <si>
    <t>Data Science Consultant</t>
  </si>
  <si>
    <t>Nayak</t>
  </si>
  <si>
    <t>Varsha</t>
  </si>
  <si>
    <t>Shetty</t>
  </si>
  <si>
    <t xml:space="preserve">GreyAtom </t>
  </si>
  <si>
    <t>Executive - Partnerships &amp; Growth</t>
  </si>
  <si>
    <t>Prasanna Sagar</t>
  </si>
  <si>
    <t>Maddu</t>
  </si>
  <si>
    <t>JPMorgan Chase &amp; Co.</t>
  </si>
  <si>
    <t>AVP</t>
  </si>
  <si>
    <t>Ramna</t>
  </si>
  <si>
    <t>Vadavalli</t>
  </si>
  <si>
    <t>Randstad Technologies US</t>
  </si>
  <si>
    <t>Senior Vice President of Offshore Services</t>
  </si>
  <si>
    <t>Ramanujam</t>
  </si>
  <si>
    <t>MV</t>
  </si>
  <si>
    <t>LinkedIn</t>
  </si>
  <si>
    <t>Data Scientist - Economic Graph Analytics</t>
  </si>
  <si>
    <t>Deepanvita</t>
  </si>
  <si>
    <t>Sonker</t>
  </si>
  <si>
    <t>Talent Acquisition Leader, International</t>
  </si>
  <si>
    <t>Nitin</t>
  </si>
  <si>
    <t>Mukhija</t>
  </si>
  <si>
    <t>PayU</t>
  </si>
  <si>
    <t>Vice President Engineering</t>
  </si>
  <si>
    <t>Prasant</t>
  </si>
  <si>
    <t>AB InBev India</t>
  </si>
  <si>
    <t>Head Demand Planning and Replenishment Supply Chain- India</t>
  </si>
  <si>
    <t>Sunil</t>
  </si>
  <si>
    <t>Chillal</t>
  </si>
  <si>
    <t>Senior Manager - Global Resource Management &amp; Project Management Operations</t>
  </si>
  <si>
    <t>Jaiesh</t>
  </si>
  <si>
    <t>Senior Manager, Central Transformation</t>
  </si>
  <si>
    <t>Aswini</t>
  </si>
  <si>
    <t>World Blind Cricket Ltd</t>
  </si>
  <si>
    <t xml:space="preserve">CEO </t>
  </si>
  <si>
    <t>Swathy</t>
  </si>
  <si>
    <t>Palakurthy</t>
  </si>
  <si>
    <t>Associate Manager Quality</t>
  </si>
  <si>
    <t>Achappa</t>
  </si>
  <si>
    <t>Bheemaiah</t>
  </si>
  <si>
    <t xml:space="preserve">Senior Partner -Global Talent Acquisition </t>
  </si>
  <si>
    <t>Sivanadri</t>
  </si>
  <si>
    <t>Travel Tripper</t>
  </si>
  <si>
    <t>Architect</t>
  </si>
  <si>
    <t>Naik</t>
  </si>
  <si>
    <t>BP</t>
  </si>
  <si>
    <t>Principal, Digital Innovation</t>
  </si>
  <si>
    <t>Kannan</t>
  </si>
  <si>
    <t>Nagarajan</t>
  </si>
  <si>
    <t>Subodh</t>
  </si>
  <si>
    <t>Gandhi</t>
  </si>
  <si>
    <t>Abbott Vascular</t>
  </si>
  <si>
    <t>Associate Director - Sales</t>
  </si>
  <si>
    <t>Shravan Kumar</t>
  </si>
  <si>
    <t>Koninti</t>
  </si>
  <si>
    <t xml:space="preserve">Senior Manager, Advanced Analytics, US Region </t>
  </si>
  <si>
    <t>Kavisha</t>
  </si>
  <si>
    <t>Dagli</t>
  </si>
  <si>
    <t>The Walt Disney Company</t>
  </si>
  <si>
    <t>Assistant Manager - Licensing</t>
  </si>
  <si>
    <t>Ravinder K</t>
  </si>
  <si>
    <t>Anheuser-Busch InBev</t>
  </si>
  <si>
    <t>Global Sr. Director- Analytics, Insights &amp; New Capabilities</t>
  </si>
  <si>
    <t>Shenoy</t>
  </si>
  <si>
    <t>Microsoft India</t>
  </si>
  <si>
    <t>Machine Learning Scientist Manager</t>
  </si>
  <si>
    <t>Nagabhushana</t>
  </si>
  <si>
    <t>Urala</t>
  </si>
  <si>
    <t>Intuitive Management Consultants</t>
  </si>
  <si>
    <t>Independent Management Consultant</t>
  </si>
  <si>
    <t>Sharmistha</t>
  </si>
  <si>
    <t>Debnath</t>
  </si>
  <si>
    <t>Thrymr Software</t>
  </si>
  <si>
    <t>HR Manager</t>
  </si>
  <si>
    <t>Faizan</t>
  </si>
  <si>
    <t>Shaikh</t>
  </si>
  <si>
    <t>Analytics Vidhya</t>
  </si>
  <si>
    <t>Dharur</t>
  </si>
  <si>
    <t>Qualcomm</t>
  </si>
  <si>
    <t>Machine Learning Software Engineer</t>
  </si>
  <si>
    <t>Gupta, CFP, CFA, FRM</t>
  </si>
  <si>
    <t>IHS Markit</t>
  </si>
  <si>
    <t>Director Data Science</t>
  </si>
  <si>
    <t>Mohit</t>
  </si>
  <si>
    <t>Vice President -Technology Audit</t>
  </si>
  <si>
    <t>Shasthri</t>
  </si>
  <si>
    <t>HDFC Bank</t>
  </si>
  <si>
    <t>Vertical Head Machine learning &amp; Big Data</t>
  </si>
  <si>
    <t>Pedro</t>
  </si>
  <si>
    <t>Alves</t>
  </si>
  <si>
    <t>Ople</t>
  </si>
  <si>
    <t>Founder and CEO</t>
  </si>
  <si>
    <t>Rajendran</t>
  </si>
  <si>
    <t>Saaki Argus and Averil Consulting</t>
  </si>
  <si>
    <t>Leadership &amp; Niche Hiring</t>
  </si>
  <si>
    <t>Michael</t>
  </si>
  <si>
    <t>Berthold</t>
  </si>
  <si>
    <t>KNIME AG</t>
  </si>
  <si>
    <t>Rosaria</t>
  </si>
  <si>
    <t>Silipo</t>
  </si>
  <si>
    <t>KNIME.com</t>
  </si>
  <si>
    <t>Principal Data Scientist</t>
  </si>
  <si>
    <t>Venuder Reddy</t>
  </si>
  <si>
    <t>Saddi</t>
  </si>
  <si>
    <t>Associate Software Engineer</t>
  </si>
  <si>
    <t>Tiwari</t>
  </si>
  <si>
    <t>AXIOM GAS ENGINEERING PRIVATE LIMITED</t>
  </si>
  <si>
    <t>Rambabu</t>
  </si>
  <si>
    <t>Nelaprolu</t>
  </si>
  <si>
    <t>Teradata</t>
  </si>
  <si>
    <t>Srivillibhuthur</t>
  </si>
  <si>
    <t>Sr. Investigation Specialist</t>
  </si>
  <si>
    <t>Chandra Sekhar</t>
  </si>
  <si>
    <t>AKNR</t>
  </si>
  <si>
    <t>Senior Vice President Consumer Finance</t>
  </si>
  <si>
    <t>Surya Teja</t>
  </si>
  <si>
    <t>Kota</t>
  </si>
  <si>
    <t>Wipro Limited</t>
  </si>
  <si>
    <t>Lead Consultant</t>
  </si>
  <si>
    <t>Jahnavi</t>
  </si>
  <si>
    <t>Chintakunta</t>
  </si>
  <si>
    <t>Module Lead</t>
  </si>
  <si>
    <t>Aradhana</t>
  </si>
  <si>
    <t>Tech Mahindra (formerly Mahindra Satyam)</t>
  </si>
  <si>
    <t>Business Associate</t>
  </si>
  <si>
    <t>Gunda</t>
  </si>
  <si>
    <t>CA Technologies</t>
  </si>
  <si>
    <t>Prasanna</t>
  </si>
  <si>
    <t>Sai</t>
  </si>
  <si>
    <t>Investigator-TRMS-MRI</t>
  </si>
  <si>
    <t>Pavan Krishna Kartik</t>
  </si>
  <si>
    <t>Parasa</t>
  </si>
  <si>
    <t>Deepshikha</t>
  </si>
  <si>
    <t>Associate Director- Game Plan</t>
  </si>
  <si>
    <t>Guruprasad</t>
  </si>
  <si>
    <t>T N</t>
  </si>
  <si>
    <t>ArisGlobal</t>
  </si>
  <si>
    <t>Associate Manager - Quality</t>
  </si>
  <si>
    <t>Ramana</t>
  </si>
  <si>
    <t>Chintala</t>
  </si>
  <si>
    <t>KPMG</t>
  </si>
  <si>
    <t>Dat</t>
  </si>
  <si>
    <t>Tran</t>
  </si>
  <si>
    <t>Axel Springer Ideas Engineering GmbH</t>
  </si>
  <si>
    <t>Head of AI</t>
  </si>
  <si>
    <t>Emilie</t>
  </si>
  <si>
    <t>NARCY</t>
  </si>
  <si>
    <t>Approach People Recruitment</t>
  </si>
  <si>
    <t>HR &amp; Operations Director</t>
  </si>
  <si>
    <t>Jakki</t>
  </si>
  <si>
    <t>Seshapanpu</t>
  </si>
  <si>
    <t>AutoForm Engineering</t>
  </si>
  <si>
    <t>Eswaran</t>
  </si>
  <si>
    <t>Sreenidhi Institute of Science and Technology</t>
  </si>
  <si>
    <t>Adjunct Professor Of Computer Science</t>
  </si>
  <si>
    <t>Sharad</t>
  </si>
  <si>
    <t>Granules India Limited</t>
  </si>
  <si>
    <t>Saswata</t>
  </si>
  <si>
    <t>Sahoo, PhD</t>
  </si>
  <si>
    <t>Gartner</t>
  </si>
  <si>
    <t>Director, Advanced Analytics</t>
  </si>
  <si>
    <t>Punia</t>
  </si>
  <si>
    <t>Artefact</t>
  </si>
  <si>
    <t>Vivek</t>
  </si>
  <si>
    <t>Singhal</t>
  </si>
  <si>
    <t>CellStrat</t>
  </si>
  <si>
    <t>Co-Founder, AI Data Scientist</t>
  </si>
  <si>
    <t>Mempishak</t>
  </si>
  <si>
    <t>Kh</t>
  </si>
  <si>
    <t xml:space="preserve">Xiaomi India </t>
  </si>
  <si>
    <t>Talent Acquisition</t>
  </si>
  <si>
    <t>Rupin</t>
  </si>
  <si>
    <t>Karani</t>
  </si>
  <si>
    <t>mfine</t>
  </si>
  <si>
    <t>mounika</t>
  </si>
  <si>
    <t>gunturu</t>
  </si>
  <si>
    <t>Franklin Templeton Investments</t>
  </si>
  <si>
    <t>Anand Babu</t>
  </si>
  <si>
    <t>Saragadam</t>
  </si>
  <si>
    <t>J.B. Hunt Transport Services, Inc</t>
  </si>
  <si>
    <t>UI Engineer</t>
  </si>
  <si>
    <t xml:space="preserve">Neteesh </t>
  </si>
  <si>
    <t>A</t>
  </si>
  <si>
    <t>ForeTees</t>
  </si>
  <si>
    <t>SalesForce Developer/ Administrator</t>
  </si>
  <si>
    <t>Pallavi</t>
  </si>
  <si>
    <t>Naukri.com</t>
  </si>
  <si>
    <t xml:space="preserve">Senior Manager </t>
  </si>
  <si>
    <t>Dan</t>
  </si>
  <si>
    <t>Nadil</t>
  </si>
  <si>
    <t xml:space="preserve">Stelfox </t>
  </si>
  <si>
    <t>Senior Recruitment Consultant - Data Science &amp; Analytics Practice</t>
  </si>
  <si>
    <t>Swati</t>
  </si>
  <si>
    <t>Grover</t>
  </si>
  <si>
    <t>SENIOR MANAGER | CLOUD ERP | AI PRODUCT &amp; GROWTH STRATEGY | CUSTOMER SUCCESS</t>
  </si>
  <si>
    <t>Elliott</t>
  </si>
  <si>
    <t>Merriam</t>
  </si>
  <si>
    <t>Facebook</t>
  </si>
  <si>
    <t>Vidhu</t>
  </si>
  <si>
    <t>Beohar</t>
  </si>
  <si>
    <t>Data Science - Program Manager</t>
  </si>
  <si>
    <t>SAMBASIVARAO</t>
  </si>
  <si>
    <t>Y</t>
  </si>
  <si>
    <t>Sanaari Software Solutions Pvt Ltd</t>
  </si>
  <si>
    <t>Owner</t>
  </si>
  <si>
    <t>Jeff</t>
  </si>
  <si>
    <t>Staebell</t>
  </si>
  <si>
    <t>Windstream</t>
  </si>
  <si>
    <t>Analyst II-Engineering</t>
  </si>
  <si>
    <t>Narayana Sai Bharath</t>
  </si>
  <si>
    <t>Allamsetti</t>
  </si>
  <si>
    <t>Assistant System Enginner</t>
  </si>
  <si>
    <t>Richard</t>
  </si>
  <si>
    <t>Maddison FRSA</t>
  </si>
  <si>
    <t>Numadic</t>
  </si>
  <si>
    <t xml:space="preserve">Director - Machine learning, AI &amp; Data </t>
  </si>
  <si>
    <t>Sanjay</t>
  </si>
  <si>
    <t>Menon</t>
  </si>
  <si>
    <t>Publicis Sapient</t>
  </si>
  <si>
    <t>Managing Director</t>
  </si>
  <si>
    <t>Dwivedi</t>
  </si>
  <si>
    <t>Wenso Ltd</t>
  </si>
  <si>
    <t xml:space="preserve">Data Science Strategist | Adjunct Trainer | GDPR Consultant | Client Partner </t>
  </si>
  <si>
    <t>Raj Kumar</t>
  </si>
  <si>
    <t>Patra</t>
  </si>
  <si>
    <t>RB</t>
  </si>
  <si>
    <t>Global IT Lead - R&amp;D, Safety, PLM, Quality, Regulatory Affairs &amp; Compliance</t>
  </si>
  <si>
    <t>Shivam</t>
  </si>
  <si>
    <t>H2O.ai</t>
  </si>
  <si>
    <t>Data Scientist | Customer Success</t>
  </si>
  <si>
    <t>Shraddha</t>
  </si>
  <si>
    <t>Avasthy, PhD</t>
  </si>
  <si>
    <t>Sindhu</t>
  </si>
  <si>
    <t>Potluri</t>
  </si>
  <si>
    <t>Application Development Senior Analyst</t>
  </si>
  <si>
    <t>Mangesh</t>
  </si>
  <si>
    <t>Pangarkar</t>
  </si>
  <si>
    <t>VMWare</t>
  </si>
  <si>
    <t>Director, R&amp;D</t>
  </si>
  <si>
    <t>Ajinkya</t>
  </si>
  <si>
    <t>Kolhe</t>
  </si>
  <si>
    <t>Data Engineering &amp; Machine Learning Instructor</t>
  </si>
  <si>
    <t>Mekala</t>
  </si>
  <si>
    <t>eQSystems( a Gayathri Enterprise)</t>
  </si>
  <si>
    <t>Consultant &amp; Accredited PRINCE2 2017, ITIL Expert, COBIT5.0, ASM, DevOps Trainer</t>
  </si>
  <si>
    <t>Walmart</t>
  </si>
  <si>
    <t>Talent Acquisition Professional</t>
  </si>
  <si>
    <t>Sumeet</t>
  </si>
  <si>
    <t>Shinde</t>
  </si>
  <si>
    <t>Student Experience Manager</t>
  </si>
  <si>
    <t>Vish</t>
  </si>
  <si>
    <t>Agashe</t>
  </si>
  <si>
    <t>JudicaÃ«l</t>
  </si>
  <si>
    <t>paquet</t>
  </si>
  <si>
    <t>Myagile Partner CH</t>
  </si>
  <si>
    <t>Coach Agile &amp; Devops indÃ©pendant - fondateur de Myagile Partner CH</t>
  </si>
  <si>
    <t>Abhishek</t>
  </si>
  <si>
    <t>Boeing</t>
  </si>
  <si>
    <t>Manager, Product Systems (Information Technology)</t>
  </si>
  <si>
    <t>Yatindra</t>
  </si>
  <si>
    <t>Amazon Web Services (AWS)</t>
  </si>
  <si>
    <t>Talent Acquisition Partner</t>
  </si>
  <si>
    <t>goel</t>
  </si>
  <si>
    <t>WITSY Limited</t>
  </si>
  <si>
    <t>Founder and CTO</t>
  </si>
  <si>
    <t>Srikanth</t>
  </si>
  <si>
    <t>Seshadri</t>
  </si>
  <si>
    <t>Ford Motor Company</t>
  </si>
  <si>
    <t>Tyagi</t>
  </si>
  <si>
    <t>Clifford Chance</t>
  </si>
  <si>
    <t>Assistant Manager, Pricing Analytics</t>
  </si>
  <si>
    <t>Arunkumar</t>
  </si>
  <si>
    <t>Canspirit Artificial Intelligence</t>
  </si>
  <si>
    <t>Quantopian, Artificial Intelligence, Deep Learning, Machine Learning</t>
  </si>
  <si>
    <t>Dange</t>
  </si>
  <si>
    <t>Shweta</t>
  </si>
  <si>
    <t>Doshi</t>
  </si>
  <si>
    <t>GreyAtom</t>
  </si>
  <si>
    <t>Gireesh</t>
  </si>
  <si>
    <t>Sundaram</t>
  </si>
  <si>
    <t>Verizon</t>
  </si>
  <si>
    <t>Specialist - Data Science</t>
  </si>
  <si>
    <t>Tejaswi Sai</t>
  </si>
  <si>
    <t>Turaga</t>
  </si>
  <si>
    <t>Synchrony</t>
  </si>
  <si>
    <t>Assistant Vice President</t>
  </si>
  <si>
    <t>Shriram</t>
  </si>
  <si>
    <t>V</t>
  </si>
  <si>
    <t>Shardul</t>
  </si>
  <si>
    <t>Deshmukh</t>
  </si>
  <si>
    <t>SignalX.ai</t>
  </si>
  <si>
    <t>Business Analyst Intern</t>
  </si>
  <si>
    <t>Srini</t>
  </si>
  <si>
    <t>Palthepu</t>
  </si>
  <si>
    <t>Cars.com</t>
  </si>
  <si>
    <t>Senior Manager, Bid Data Engineering and Machine Learning</t>
  </si>
  <si>
    <t>Prabhat</t>
  </si>
  <si>
    <t>GSK</t>
  </si>
  <si>
    <t>Sr. Director &amp; Head of Analytics- Asia Pacific</t>
  </si>
  <si>
    <t>Venkata Ravi Teja</t>
  </si>
  <si>
    <t>Prathi</t>
  </si>
  <si>
    <t>Camp Systems</t>
  </si>
  <si>
    <t>Sudhakar</t>
  </si>
  <si>
    <t>Vuriti</t>
  </si>
  <si>
    <t>Sadara Chemical Company</t>
  </si>
  <si>
    <t>Maintenance Scheduling Engineer</t>
  </si>
  <si>
    <t xml:space="preserve">Dhiraj </t>
  </si>
  <si>
    <t xml:space="preserve">Tiwari </t>
  </si>
  <si>
    <t>Snehitha</t>
  </si>
  <si>
    <t>Avirneni</t>
  </si>
  <si>
    <t>Play Games24x7 Private Limited</t>
  </si>
  <si>
    <t>Marketing Manager - Acquisition</t>
  </si>
  <si>
    <t>Arun Prakash</t>
  </si>
  <si>
    <t>Asokan</t>
  </si>
  <si>
    <t>Lead Data Scientist</t>
  </si>
  <si>
    <t>Reetika</t>
  </si>
  <si>
    <t>Choudhary</t>
  </si>
  <si>
    <t>Associate Product Manager</t>
  </si>
  <si>
    <t>Naykodi</t>
  </si>
  <si>
    <t>Tirunagari</t>
  </si>
  <si>
    <t>European Bioinformatics Institute | EMBL-EBI</t>
  </si>
  <si>
    <t>Machine Learning Scientist (NLP)</t>
  </si>
  <si>
    <t>Rajeev</t>
  </si>
  <si>
    <t>Lal</t>
  </si>
  <si>
    <t>Belcan</t>
  </si>
  <si>
    <t xml:space="preserve">Advisor &amp; Addl. Director, Belcan India Pvt. Ltd. </t>
  </si>
  <si>
    <t>Vaibhav</t>
  </si>
  <si>
    <t>F5 Networks</t>
  </si>
  <si>
    <t>Prudhvi</t>
  </si>
  <si>
    <t>Potuganti</t>
  </si>
  <si>
    <t>SupervisedLearning.com</t>
  </si>
  <si>
    <t>Super Learner</t>
  </si>
  <si>
    <t>Reena</t>
  </si>
  <si>
    <t>Poddar</t>
  </si>
  <si>
    <t>Birla Corporation Ltd.</t>
  </si>
  <si>
    <t>Sourav</t>
  </si>
  <si>
    <t>Nandi</t>
  </si>
  <si>
    <t>SymphonyAI</t>
  </si>
  <si>
    <t>Statistician</t>
  </si>
  <si>
    <t>lavanya</t>
  </si>
  <si>
    <t xml:space="preserve">konduru </t>
  </si>
  <si>
    <t>Uber</t>
  </si>
  <si>
    <t>Operations Manager</t>
  </si>
  <si>
    <t>Mohd</t>
  </si>
  <si>
    <t>Kashif</t>
  </si>
  <si>
    <t>Johnson</t>
  </si>
  <si>
    <t>George</t>
  </si>
  <si>
    <t xml:space="preserve">RETIRED &amp; RESTING </t>
  </si>
  <si>
    <t>Hitesh</t>
  </si>
  <si>
    <t>Youtube</t>
  </si>
  <si>
    <t>Tech Video Creator</t>
  </si>
  <si>
    <t>Jennifer Carolena</t>
  </si>
  <si>
    <t>David</t>
  </si>
  <si>
    <t>eTouch Systems</t>
  </si>
  <si>
    <t>Data Analytics Engineer</t>
  </si>
  <si>
    <t>SÃ©bastien</t>
  </si>
  <si>
    <t>Hug</t>
  </si>
  <si>
    <t>swissnex India, Consulate General of Switzerland in Bangalore</t>
  </si>
  <si>
    <t>CEO and Consul General</t>
  </si>
  <si>
    <t>Swapnil</t>
  </si>
  <si>
    <t>Jadhav</t>
  </si>
  <si>
    <t>dailyhunt (VersÃ© Innovation Pvt Ltd)</t>
  </si>
  <si>
    <t>Lead Research Scientist</t>
  </si>
  <si>
    <t>Mehrotra</t>
  </si>
  <si>
    <t>Walmart Global Technology Services</t>
  </si>
  <si>
    <t>Project Manager - Strategy and Analytics</t>
  </si>
  <si>
    <t>Somen</t>
  </si>
  <si>
    <t xml:space="preserve">Chowdhury </t>
  </si>
  <si>
    <t>Tata Teleservices Ltd ( Part of Tata Group)</t>
  </si>
  <si>
    <t xml:space="preserve">Practice Lead â€“ AI-ML| RPA| Data Analytics </t>
  </si>
  <si>
    <t>Khubtarin</t>
  </si>
  <si>
    <t>Ahmed</t>
  </si>
  <si>
    <t>Product Company</t>
  </si>
  <si>
    <t>Kumara Guru</t>
  </si>
  <si>
    <t>D N V</t>
  </si>
  <si>
    <t>Director - External Relations</t>
  </si>
  <si>
    <t>Cristiano</t>
  </si>
  <si>
    <t>Light Beacon Coach LLC</t>
  </si>
  <si>
    <t>Founder, Empowerment Coach and Speaker</t>
  </si>
  <si>
    <t>Meenu</t>
  </si>
  <si>
    <t>Mohanan</t>
  </si>
  <si>
    <t>FlyHy</t>
  </si>
  <si>
    <t>Analyst</t>
  </si>
  <si>
    <t>BhargavReddy</t>
  </si>
  <si>
    <t>Muthukuru</t>
  </si>
  <si>
    <t>Associate Project Manager</t>
  </si>
  <si>
    <t>Gandhi, PhD</t>
  </si>
  <si>
    <t>mLabs</t>
  </si>
  <si>
    <t>Sumit</t>
  </si>
  <si>
    <t>Shukla</t>
  </si>
  <si>
    <t>Hopscotch</t>
  </si>
  <si>
    <t>Moran</t>
  </si>
  <si>
    <t>LogMeIn</t>
  </si>
  <si>
    <t>Team Lead, Talent Acquisition</t>
  </si>
  <si>
    <t>Gangwar</t>
  </si>
  <si>
    <t>Executive Director - ASC Lab (Business Anlaytics Programme)</t>
  </si>
  <si>
    <t>Srishti</t>
  </si>
  <si>
    <t>Bisen</t>
  </si>
  <si>
    <t>Nana</t>
  </si>
  <si>
    <t>Bempong</t>
  </si>
  <si>
    <t>Sapient Recruitment Ltd</t>
  </si>
  <si>
    <t>Eswara Reddy</t>
  </si>
  <si>
    <t>Bank Of NewYork</t>
  </si>
  <si>
    <t>Specialist Database Management</t>
  </si>
  <si>
    <t>Ravinder Reddy</t>
  </si>
  <si>
    <t>Konyala</t>
  </si>
  <si>
    <t>GGK Tech</t>
  </si>
  <si>
    <t>Associate Manager-TAG</t>
  </si>
  <si>
    <t>Karra</t>
  </si>
  <si>
    <t>Sai Prabhath</t>
  </si>
  <si>
    <t>SmartDrive Systems</t>
  </si>
  <si>
    <t>Human Resources Executive</t>
  </si>
  <si>
    <t>Senthilkumar</t>
  </si>
  <si>
    <t>Ganapathy</t>
  </si>
  <si>
    <t>Manik</t>
  </si>
  <si>
    <t>Team Leader (Development)</t>
  </si>
  <si>
    <t>Ravi Ranjan Prasad</t>
  </si>
  <si>
    <t>Karn</t>
  </si>
  <si>
    <t>Hewlett Packard Enterprise</t>
  </si>
  <si>
    <t>Anil</t>
  </si>
  <si>
    <t>Kommineni (Hiring exceptional Engineers, Leaders)</t>
  </si>
  <si>
    <t>Sr Engineering Leader</t>
  </si>
  <si>
    <t>Rahul</t>
  </si>
  <si>
    <t>ProGen Business Solutions</t>
  </si>
  <si>
    <t>Founder &amp; CEO</t>
  </si>
  <si>
    <t>Litan Kumar</t>
  </si>
  <si>
    <t>Mohanta</t>
  </si>
  <si>
    <t>Zapr Media Labs</t>
  </si>
  <si>
    <t>Jatin</t>
  </si>
  <si>
    <t>Sukhija</t>
  </si>
  <si>
    <t>Productivity Expertz Services Private Limited</t>
  </si>
  <si>
    <t>Director- Training &amp; Development| MSO &amp; Process Training| MIS| Data Analysis| Employees Engagement</t>
  </si>
  <si>
    <t>Preeti</t>
  </si>
  <si>
    <t>.</t>
  </si>
  <si>
    <t>DevLabsAlliance</t>
  </si>
  <si>
    <t>Learning Development Manager</t>
  </si>
  <si>
    <t>Sheetal Anns</t>
  </si>
  <si>
    <t>Philip</t>
  </si>
  <si>
    <t>HP</t>
  </si>
  <si>
    <t>Alextin</t>
  </si>
  <si>
    <t>Mendonzaâ­</t>
  </si>
  <si>
    <t>Finamics Global</t>
  </si>
  <si>
    <t>CTO</t>
  </si>
  <si>
    <t>Kishore</t>
  </si>
  <si>
    <t>Mitra</t>
  </si>
  <si>
    <t>Galfar Almisnad Engineering &amp; COntracting WLL</t>
  </si>
  <si>
    <t>Manager-QHSE Systems</t>
  </si>
  <si>
    <t>Girish</t>
  </si>
  <si>
    <t>Chiriki V</t>
  </si>
  <si>
    <t>JetPrivilege</t>
  </si>
  <si>
    <t>Data Engineer Analytics</t>
  </si>
  <si>
    <t>Kalyani</t>
  </si>
  <si>
    <t>HiringBot</t>
  </si>
  <si>
    <t>Head -  Product &amp; Research</t>
  </si>
  <si>
    <t>KARTHIKEYAN</t>
  </si>
  <si>
    <t>MUTHU</t>
  </si>
  <si>
    <t>Project Engineer</t>
  </si>
  <si>
    <t>Aldhandi</t>
  </si>
  <si>
    <t>Vedanta Resources Limited</t>
  </si>
  <si>
    <t>Deputy Manager</t>
  </si>
  <si>
    <t>Taraprasanna</t>
  </si>
  <si>
    <t>Saha Babu</t>
  </si>
  <si>
    <t>LAKSHMI</t>
  </si>
  <si>
    <t>GB</t>
  </si>
  <si>
    <t>ISB Project</t>
  </si>
  <si>
    <t>Ishita</t>
  </si>
  <si>
    <t>UpGrad.com</t>
  </si>
  <si>
    <t xml:space="preserve">Vertical Head - Operations </t>
  </si>
  <si>
    <t>Vikash</t>
  </si>
  <si>
    <t>Gainsight</t>
  </si>
  <si>
    <t>Awale</t>
  </si>
  <si>
    <t>Ridecell</t>
  </si>
  <si>
    <t>QA Engineering Manager</t>
  </si>
  <si>
    <t>Andrea</t>
  </si>
  <si>
    <t>KuÅ¡nÃ­rovÃ¡</t>
  </si>
  <si>
    <t>Business Coordinator</t>
  </si>
  <si>
    <t>Ravi Kiran</t>
  </si>
  <si>
    <t>Korabu</t>
  </si>
  <si>
    <t>GE Digital</t>
  </si>
  <si>
    <t>Staff Software Engineer - Data &amp; Analytics</t>
  </si>
  <si>
    <t>Gururaj Arvind</t>
  </si>
  <si>
    <t>Gumaste</t>
  </si>
  <si>
    <t>AppLabs</t>
  </si>
  <si>
    <t>Senior Process Consultant</t>
  </si>
  <si>
    <t>Amarnath</t>
  </si>
  <si>
    <t>Genpact</t>
  </si>
  <si>
    <t>Agrima</t>
  </si>
  <si>
    <t>Agarwal</t>
  </si>
  <si>
    <t>Big Data Developer/Consultant</t>
  </si>
  <si>
    <t>Chaitanya</t>
  </si>
  <si>
    <t>Challa</t>
  </si>
  <si>
    <t>MagikMinds</t>
  </si>
  <si>
    <t>Mayank</t>
  </si>
  <si>
    <t>Ashwani</t>
  </si>
  <si>
    <t>Brain Quest</t>
  </si>
  <si>
    <t>Moorehead ðŸ“Š Power Sheet AI ðŸ†“ Excel BI/DB Builder</t>
  </si>
  <si>
    <t>Power Sheet AIï¿¨Free BI Dashboardï¼†Cloud Database Builderï¿¨Embed in Excelï¼ŒMicrosoft Accessï¼ŒPower BIï¼ŒWeb</t>
  </si>
  <si>
    <t>Founder, CEO &amp; Excel BI AI Guru</t>
  </si>
  <si>
    <t>Bhanu</t>
  </si>
  <si>
    <t>K</t>
  </si>
  <si>
    <t>AT&amp;T</t>
  </si>
  <si>
    <t>DBA / Business Analyst</t>
  </si>
  <si>
    <t>Sayed</t>
  </si>
  <si>
    <t>General Mills</t>
  </si>
  <si>
    <t>Sr. Executive - Trade Insights &amp; Analytics</t>
  </si>
  <si>
    <t>Bernard</t>
  </si>
  <si>
    <t>Obeng Boateng</t>
  </si>
  <si>
    <t>Business Evolution Systems &amp; Training (BEST) Ltd</t>
  </si>
  <si>
    <t>Financial Modeler/Data Analyst/Trainer</t>
  </si>
  <si>
    <t>Hale</t>
  </si>
  <si>
    <t>Van Barkaloo Holdings</t>
  </si>
  <si>
    <t>Chief Executive Officer</t>
  </si>
  <si>
    <t>Jeevan</t>
  </si>
  <si>
    <t>Arande</t>
  </si>
  <si>
    <t xml:space="preserve">9A business Pvt Ltd </t>
  </si>
  <si>
    <t>Nazar</t>
  </si>
  <si>
    <t>DS</t>
  </si>
  <si>
    <t>Zinavo Technologies</t>
  </si>
  <si>
    <t>Donald</t>
  </si>
  <si>
    <t>Scott</t>
  </si>
  <si>
    <t>Onepanel</t>
  </si>
  <si>
    <t>Gutierrez</t>
  </si>
  <si>
    <t>AMULET Analytics</t>
  </si>
  <si>
    <t>Komal</t>
  </si>
  <si>
    <t>Acha</t>
  </si>
  <si>
    <t>beckNF</t>
  </si>
  <si>
    <t>Mohan Ganesh</t>
  </si>
  <si>
    <t>Dandala</t>
  </si>
  <si>
    <t>Optum</t>
  </si>
  <si>
    <t>Six Sigma Consultant</t>
  </si>
  <si>
    <t>Kannaraj</t>
  </si>
  <si>
    <t>Sadula</t>
  </si>
  <si>
    <t>Broadridge Financial Solutions</t>
  </si>
  <si>
    <t>Product QA Lead</t>
  </si>
  <si>
    <t>Ganes</t>
  </si>
  <si>
    <t>Kesari</t>
  </si>
  <si>
    <t>Gramener</t>
  </si>
  <si>
    <t>SVP, Head of Analytics - AI Labs</t>
  </si>
  <si>
    <t>Bennur</t>
  </si>
  <si>
    <t>Intuit</t>
  </si>
  <si>
    <t>Global Talent Acquisition (Leadership Hiring)</t>
  </si>
  <si>
    <t>S Gangadhara Rao</t>
  </si>
  <si>
    <t>Boppana</t>
  </si>
  <si>
    <t>stabilitygroup.in</t>
  </si>
  <si>
    <t>Co-Founder &amp; CEO</t>
  </si>
  <si>
    <t>Prateek</t>
  </si>
  <si>
    <t>Madhav</t>
  </si>
  <si>
    <t>Assistive Technology Accelerator (ATA)</t>
  </si>
  <si>
    <t>Jagadeeswar Reddy</t>
  </si>
  <si>
    <t>Singam (Jags)</t>
  </si>
  <si>
    <t xml:space="preserve">Rohit </t>
  </si>
  <si>
    <t>Cloud4C Services</t>
  </si>
  <si>
    <t>Vice President Global Marketing</t>
  </si>
  <si>
    <t>Eduwaive Foundation</t>
  </si>
  <si>
    <t>T. Scott</t>
  </si>
  <si>
    <t>Clendaniel</t>
  </si>
  <si>
    <t>Legg Mason</t>
  </si>
  <si>
    <t>Chief Data Scientist- Strategic Artificial Intelligence Lab</t>
  </si>
  <si>
    <t>Tower Research Capital</t>
  </si>
  <si>
    <t>Software Developer II</t>
  </si>
  <si>
    <t>Ratnakar</t>
  </si>
  <si>
    <t>Pandey</t>
  </si>
  <si>
    <t>Kabbage, Inc</t>
  </si>
  <si>
    <t>India Head Analytics and Data Science</t>
  </si>
  <si>
    <t>Mrinmayi</t>
  </si>
  <si>
    <t>Paunikar</t>
  </si>
  <si>
    <t xml:space="preserve">Confidential </t>
  </si>
  <si>
    <t>Sr.IT Recruiter</t>
  </si>
  <si>
    <t>Subharun</t>
  </si>
  <si>
    <t>Mukherjee</t>
  </si>
  <si>
    <t>MetricStream</t>
  </si>
  <si>
    <t xml:space="preserve">Associate Vice President, Strategic Intiatives and Industry Marketing </t>
  </si>
  <si>
    <t>Ramanujan</t>
  </si>
  <si>
    <t>Assoc. Vice President, Product Management</t>
  </si>
  <si>
    <t>Viral</t>
  </si>
  <si>
    <t>Pison</t>
  </si>
  <si>
    <t>Daniela</t>
  </si>
  <si>
    <t>dunnhumby</t>
  </si>
  <si>
    <t>Associate Applied Data Scientist</t>
  </si>
  <si>
    <t>Padmaja</t>
  </si>
  <si>
    <t>Sriram</t>
  </si>
  <si>
    <t>Regional Leader Staffing - APAC</t>
  </si>
  <si>
    <t>Vijayachandra Reddy</t>
  </si>
  <si>
    <t>Pasham</t>
  </si>
  <si>
    <t>IHRAINDIA</t>
  </si>
  <si>
    <t>State Director of Public Welfare(Andhra Pradesh)</t>
  </si>
  <si>
    <t xml:space="preserve">Raghu </t>
  </si>
  <si>
    <t>Pogu</t>
  </si>
  <si>
    <t>TechVey Innovations Pvt Ltd</t>
  </si>
  <si>
    <t>Anantha</t>
  </si>
  <si>
    <t>Narayanan ( Ananth)</t>
  </si>
  <si>
    <t xml:space="preserve">Aavishkaar </t>
  </si>
  <si>
    <t>Head - Operations (Talent Acquisition)</t>
  </si>
  <si>
    <t>Chara</t>
  </si>
  <si>
    <t>Balasubramaniam</t>
  </si>
  <si>
    <t>Head of Global Development University</t>
  </si>
  <si>
    <t>Akansha</t>
  </si>
  <si>
    <t>Goyal</t>
  </si>
  <si>
    <t>Barclays UK</t>
  </si>
  <si>
    <t>Kale</t>
  </si>
  <si>
    <t>Analytics</t>
  </si>
  <si>
    <t>Kushal</t>
  </si>
  <si>
    <t>Bhalla</t>
  </si>
  <si>
    <t>Aditya Pawan Kumar</t>
  </si>
  <si>
    <t>Pisupati</t>
  </si>
  <si>
    <t>Merilytics Inc.</t>
  </si>
  <si>
    <t>Business Manager</t>
  </si>
  <si>
    <t>vaenu</t>
  </si>
  <si>
    <t>garg</t>
  </si>
  <si>
    <t>FINACCHI WEALTH MANAGEMENT PRIVATE LIMITED</t>
  </si>
  <si>
    <t>Summer Intern</t>
  </si>
  <si>
    <t>Sagar</t>
  </si>
  <si>
    <t>Perceptive Analytics</t>
  </si>
  <si>
    <t>Gross</t>
  </si>
  <si>
    <t>Travelers</t>
  </si>
  <si>
    <t>Director, Process Engineering</t>
  </si>
  <si>
    <t>Suvarchala</t>
  </si>
  <si>
    <t>Vsn</t>
  </si>
  <si>
    <t>Joveo</t>
  </si>
  <si>
    <t>Nandakumar</t>
  </si>
  <si>
    <t>Das</t>
  </si>
  <si>
    <t>Director, Bids &amp; Proposals Management</t>
  </si>
  <si>
    <t>Eu</t>
  </si>
  <si>
    <t>Christina</t>
  </si>
  <si>
    <t>Active Intelligence Pte Ltd</t>
  </si>
  <si>
    <t>HR Specialist</t>
  </si>
  <si>
    <t>Anshuman</t>
  </si>
  <si>
    <t>DXC Technology</t>
  </si>
  <si>
    <t>Director - Global Head of Delivery Excellence</t>
  </si>
  <si>
    <t>Martyna</t>
  </si>
  <si>
    <t>Ksyta</t>
  </si>
  <si>
    <t>Ocado Technology</t>
  </si>
  <si>
    <t>Jonathan</t>
  </si>
  <si>
    <t>Adams</t>
  </si>
  <si>
    <t>Randstad</t>
  </si>
  <si>
    <t>Data Architecture Specialist (Contractor)</t>
  </si>
  <si>
    <t>Sai Charan</t>
  </si>
  <si>
    <t>Jarugumilli</t>
  </si>
  <si>
    <t>Ideaspark Solutions Pvt Ltd</t>
  </si>
  <si>
    <t>Shabin</t>
  </si>
  <si>
    <t>Belliappa</t>
  </si>
  <si>
    <t>Pegasystems</t>
  </si>
  <si>
    <t>Sr. Recruiter</t>
  </si>
  <si>
    <t>Parul</t>
  </si>
  <si>
    <t>Data Science Evangelist</t>
  </si>
  <si>
    <t>Anand Murthy</t>
  </si>
  <si>
    <t>Raj</t>
  </si>
  <si>
    <t>Self-employed</t>
  </si>
  <si>
    <t>Founder, Director Agile Spirit Pvt Ltd; Partner Blinklane Consulting and Gladwell Academy , NL</t>
  </si>
  <si>
    <t>Jayaprakash</t>
  </si>
  <si>
    <t>Active.Ai</t>
  </si>
  <si>
    <t>CX Designer</t>
  </si>
  <si>
    <t>Br</t>
  </si>
  <si>
    <t>Duggineni</t>
  </si>
  <si>
    <t>Rootvinn softech Pvt ltd</t>
  </si>
  <si>
    <t>Xander</t>
  </si>
  <si>
    <t>Steenbrugge</t>
  </si>
  <si>
    <t>ML6</t>
  </si>
  <si>
    <t>Machine Learning engineer</t>
  </si>
  <si>
    <t>Ajay</t>
  </si>
  <si>
    <t>Ohri</t>
  </si>
  <si>
    <t>Information Technology  Consulting  firm</t>
  </si>
  <si>
    <t>Manager Data Science</t>
  </si>
  <si>
    <t>Gianluca</t>
  </si>
  <si>
    <t>Bisceglie</t>
  </si>
  <si>
    <t>Visyond</t>
  </si>
  <si>
    <t>Srinivasareddy</t>
  </si>
  <si>
    <t>Devana</t>
  </si>
  <si>
    <t>Study Monitor</t>
  </si>
  <si>
    <t>Business Development Lead</t>
  </si>
  <si>
    <t>Amardeep</t>
  </si>
  <si>
    <t>Lakhtakia</t>
  </si>
  <si>
    <t>Digital Products - Commercial &amp; Business Banking</t>
  </si>
  <si>
    <t>C. Brian</t>
  </si>
  <si>
    <t>Hesse</t>
  </si>
  <si>
    <t>Rusal America Corp</t>
  </si>
  <si>
    <t>President and CEO</t>
  </si>
  <si>
    <t>United Global Soft</t>
  </si>
  <si>
    <t>Senior Delivery Manager</t>
  </si>
  <si>
    <t>Saumya</t>
  </si>
  <si>
    <t>Jaiswal</t>
  </si>
  <si>
    <t>Vedanta Resources Plc</t>
  </si>
  <si>
    <t>Deputy Manager HR - Lead Campus Hiring</t>
  </si>
  <si>
    <t>AVIK</t>
  </si>
  <si>
    <t>DAS</t>
  </si>
  <si>
    <t>WNS Global Services</t>
  </si>
  <si>
    <t>Sr. Associate - Ops ( Data Scientist, AI &amp; Machine Learning ,GSK Knowledge Centre )</t>
  </si>
  <si>
    <t>Prudhvini</t>
  </si>
  <si>
    <t>Manisri</t>
  </si>
  <si>
    <t>HiringNinja Consulting Private Limited</t>
  </si>
  <si>
    <t>Talent Acquisition Specialist</t>
  </si>
  <si>
    <t>Thomas</t>
  </si>
  <si>
    <t>Bate</t>
  </si>
  <si>
    <t>Visokio</t>
  </si>
  <si>
    <t>Commercial Director</t>
  </si>
  <si>
    <t>CoFigure Inc</t>
  </si>
  <si>
    <t>Principal Consultant (ServiceNow)</t>
  </si>
  <si>
    <t>Swarna Chaithanya</t>
  </si>
  <si>
    <t>Kollipara</t>
  </si>
  <si>
    <t>The Business Research Company</t>
  </si>
  <si>
    <t>Satyadeep</t>
  </si>
  <si>
    <t>Behera</t>
  </si>
  <si>
    <t>Flytxt</t>
  </si>
  <si>
    <t>Karthik Eyan</t>
  </si>
  <si>
    <t>Elyuxen</t>
  </si>
  <si>
    <t>Editor In Chief</t>
  </si>
  <si>
    <t>Alex</t>
  </si>
  <si>
    <t>Nguyen</t>
  </si>
  <si>
    <t>Talent</t>
  </si>
  <si>
    <t>Lead Candidate Manager</t>
  </si>
  <si>
    <t>Venkat</t>
  </si>
  <si>
    <t>Nimmala</t>
  </si>
  <si>
    <t>DuPont Sustainable Solutions</t>
  </si>
  <si>
    <t>Sr. Consultant - Data science</t>
  </si>
  <si>
    <t>arun</t>
  </si>
  <si>
    <t>Zensar Technology Services</t>
  </si>
  <si>
    <t>Senior Technical Specialist / Team Lead</t>
  </si>
  <si>
    <t>fashion</t>
  </si>
  <si>
    <t>woods</t>
  </si>
  <si>
    <t>fashion woods</t>
  </si>
  <si>
    <t>Nagraj</t>
  </si>
  <si>
    <t>Prabhu</t>
  </si>
  <si>
    <t>Akshara Foundation</t>
  </si>
  <si>
    <t xml:space="preserve">Head Math Program </t>
  </si>
  <si>
    <t>Subhendu</t>
  </si>
  <si>
    <t>Pattnaik</t>
  </si>
  <si>
    <t>Associate Vice President &amp; Global Head of Marketing</t>
  </si>
  <si>
    <t>Manjusha</t>
  </si>
  <si>
    <t>kancharla</t>
  </si>
  <si>
    <t>University of Wisconsin-Madison</t>
  </si>
  <si>
    <t>Graduate Teaching Assistant</t>
  </si>
  <si>
    <t>Pavan Kumar</t>
  </si>
  <si>
    <t>Associate Architect</t>
  </si>
  <si>
    <t>Mohammed</t>
  </si>
  <si>
    <t>Ilyas</t>
  </si>
  <si>
    <t>Smart Travel Solutions Private Limited</t>
  </si>
  <si>
    <t>Chaitra</t>
  </si>
  <si>
    <t>R</t>
  </si>
  <si>
    <t>Target HR</t>
  </si>
  <si>
    <t>Technical Recruiter - Blockchain</t>
  </si>
  <si>
    <t>Innominds</t>
  </si>
  <si>
    <t>Varun</t>
  </si>
  <si>
    <t>Shah</t>
  </si>
  <si>
    <t>MedImpact Healthcare Systems, Inc.</t>
  </si>
  <si>
    <t>Software Engineer IV</t>
  </si>
  <si>
    <t>I</t>
  </si>
  <si>
    <t>Tata AIA Life Insurance</t>
  </si>
  <si>
    <t>Rupreet</t>
  </si>
  <si>
    <t>Gujral</t>
  </si>
  <si>
    <t>Sr. SDE, Cloud &amp; AI Platform</t>
  </si>
  <si>
    <t>Siby</t>
  </si>
  <si>
    <t>Joseph</t>
  </si>
  <si>
    <t xml:space="preserve">IntelliSteps Consulting Pvt. Ltd </t>
  </si>
  <si>
    <t>Head Of Business Development</t>
  </si>
  <si>
    <t>Tulasi Prasad</t>
  </si>
  <si>
    <t>Siddineni</t>
  </si>
  <si>
    <t>Bharat Sanchar Nigam Limited</t>
  </si>
  <si>
    <t>DSA (Direct Selling Agent)</t>
  </si>
  <si>
    <t>Pritha</t>
  </si>
  <si>
    <t>Econolytics</t>
  </si>
  <si>
    <t>Swaraj Teja</t>
  </si>
  <si>
    <t>Machiraju</t>
  </si>
  <si>
    <t>Symphony Health</t>
  </si>
  <si>
    <t>Analytics Consultant</t>
  </si>
  <si>
    <t>Sundeep</t>
  </si>
  <si>
    <t>Patnaik</t>
  </si>
  <si>
    <t>Deloitte U.S. India offices</t>
  </si>
  <si>
    <t>Executive Manager - Talent</t>
  </si>
  <si>
    <t>Anuj</t>
  </si>
  <si>
    <t>Siemens Healthineers</t>
  </si>
  <si>
    <t>Fellowship, Innovative Think Tank</t>
  </si>
  <si>
    <t>Badri Narayanan</t>
  </si>
  <si>
    <t>Gopalakrishnan, PhD</t>
  </si>
  <si>
    <t>Infinite-Sum Modelling Inc.</t>
  </si>
  <si>
    <t>Co-Founder and Partner</t>
  </si>
  <si>
    <t>Dr. Venu Gopal</t>
  </si>
  <si>
    <t>Jarugumalli</t>
  </si>
  <si>
    <t xml:space="preserve">Sr Principal Data scientist </t>
  </si>
  <si>
    <t>Citi</t>
  </si>
  <si>
    <t>Lead Data Scientist-AVP</t>
  </si>
  <si>
    <t>Bharti</t>
  </si>
  <si>
    <t>Kukreja</t>
  </si>
  <si>
    <t>Swapna Sourav</t>
  </si>
  <si>
    <t>Rout</t>
  </si>
  <si>
    <t>Rachel</t>
  </si>
  <si>
    <t>Jones</t>
  </si>
  <si>
    <t>Knoldus Inc</t>
  </si>
  <si>
    <t>Solutions Lead</t>
  </si>
  <si>
    <t>Rajshekhar</t>
  </si>
  <si>
    <t>Roy</t>
  </si>
  <si>
    <t>Metasoft Solutions</t>
  </si>
  <si>
    <t>Hari</t>
  </si>
  <si>
    <t>Thonupunoori</t>
  </si>
  <si>
    <t>Venkataraman</t>
  </si>
  <si>
    <t>Invesco</t>
  </si>
  <si>
    <t xml:space="preserve">Manager, Program Management Office </t>
  </si>
  <si>
    <t>Kameswar Rao</t>
  </si>
  <si>
    <t>Chintalapati</t>
  </si>
  <si>
    <t>Attra</t>
  </si>
  <si>
    <t>Test Manager</t>
  </si>
  <si>
    <t>Shanta</t>
  </si>
  <si>
    <t>Thoutam, Ph.D.</t>
  </si>
  <si>
    <t>T-Hub Hyderabad</t>
  </si>
  <si>
    <t xml:space="preserve">Vice President - Corporate Innovation &amp; BD </t>
  </si>
  <si>
    <t>Sarat</t>
  </si>
  <si>
    <t>Tadepally</t>
  </si>
  <si>
    <t>ServiceNow</t>
  </si>
  <si>
    <t>Talent Acquisition Leader</t>
  </si>
  <si>
    <t>Amit Kumar</t>
  </si>
  <si>
    <t>Development Manager</t>
  </si>
  <si>
    <t>Babu</t>
  </si>
  <si>
    <t>Voxvalley Technologies</t>
  </si>
  <si>
    <t>Human Resources Lead</t>
  </si>
  <si>
    <t>Sunny</t>
  </si>
  <si>
    <t>Malhotra</t>
  </si>
  <si>
    <t>Cashew Smart Wallet by Revol Inc.</t>
  </si>
  <si>
    <t>Shubhamkar</t>
  </si>
  <si>
    <t>Nikita Nitin Giridhar</t>
  </si>
  <si>
    <t>Sony India Software Centre</t>
  </si>
  <si>
    <t>Dataset Engineer</t>
  </si>
  <si>
    <t>Guruprit</t>
  </si>
  <si>
    <t>Ahuja</t>
  </si>
  <si>
    <t>Ingram Micro</t>
  </si>
  <si>
    <t>Director, Cloud (META)</t>
  </si>
  <si>
    <t>Panditi</t>
  </si>
  <si>
    <t>Enel X</t>
  </si>
  <si>
    <t>CEO and President, North America</t>
  </si>
  <si>
    <t>Harsha Vardhan</t>
  </si>
  <si>
    <t>Koppuravuri</t>
  </si>
  <si>
    <t>emnos</t>
  </si>
  <si>
    <t>Senior Product Engineer</t>
  </si>
  <si>
    <t>Gopi Chand</t>
  </si>
  <si>
    <t>Ravi, CSM</t>
  </si>
  <si>
    <t>Associate Director</t>
  </si>
  <si>
    <t>Giri</t>
  </si>
  <si>
    <t>Dommalapati</t>
  </si>
  <si>
    <t>Outreach Manager - ASC Lab and AMPBA</t>
  </si>
  <si>
    <t>Meghna</t>
  </si>
  <si>
    <t>Analytics India Magazine</t>
  </si>
  <si>
    <t>Head Of Strategy</t>
  </si>
  <si>
    <t>Revnomix Solutions</t>
  </si>
  <si>
    <t>Founder Director at Revnomix Solutions</t>
  </si>
  <si>
    <t xml:space="preserve">Shashi Bhushan </t>
  </si>
  <si>
    <t>SNVA Ventures Pvt. Ltd</t>
  </si>
  <si>
    <t>Assitant Vice President</t>
  </si>
  <si>
    <t>Ravi Kumar</t>
  </si>
  <si>
    <t>Adapa</t>
  </si>
  <si>
    <t>Principal Technical Writer</t>
  </si>
  <si>
    <t>Desai</t>
  </si>
  <si>
    <t>Ecolab Digital Center</t>
  </si>
  <si>
    <t>Harish</t>
  </si>
  <si>
    <t>Prathapani</t>
  </si>
  <si>
    <t>Green Dot Corporation</t>
  </si>
  <si>
    <t>Pinkesh</t>
  </si>
  <si>
    <t>IPL - Institute of Product Leadership</t>
  </si>
  <si>
    <t>Senior Faculty</t>
  </si>
  <si>
    <t>Raghav</t>
  </si>
  <si>
    <t>FactSet</t>
  </si>
  <si>
    <t>Manager (Fundamentals)</t>
  </si>
  <si>
    <t>Kishaloy</t>
  </si>
  <si>
    <t>Shee</t>
  </si>
  <si>
    <t>Redeem Systems Private Limited</t>
  </si>
  <si>
    <t>Senior Marketing Engineer</t>
  </si>
  <si>
    <t>Shabari</t>
  </si>
  <si>
    <t>Narayani</t>
  </si>
  <si>
    <t>Avance Consulting</t>
  </si>
  <si>
    <t>Management Trainee</t>
  </si>
  <si>
    <t>Srivani</t>
  </si>
  <si>
    <t>Ambadas</t>
  </si>
  <si>
    <t>Competency Development Manager</t>
  </si>
  <si>
    <t>Vatsya</t>
  </si>
  <si>
    <t>Sqrrl Fintech</t>
  </si>
  <si>
    <t>Content Lead</t>
  </si>
  <si>
    <t>Verma</t>
  </si>
  <si>
    <t>netVision Information Technology L. L. C.</t>
  </si>
  <si>
    <t>Sales Executive</t>
  </si>
  <si>
    <t>Deep Learning Bangalore</t>
  </si>
  <si>
    <t>Organizer</t>
  </si>
  <si>
    <t>Yogesh</t>
  </si>
  <si>
    <t>Chanchlani</t>
  </si>
  <si>
    <t>LG India</t>
  </si>
  <si>
    <t>Razzak</t>
  </si>
  <si>
    <t>Afza Fintech Payment Solutions</t>
  </si>
  <si>
    <t>Next Level Business Services, Inc.</t>
  </si>
  <si>
    <t>Sales Account Manager</t>
  </si>
  <si>
    <t>Mantrala</t>
  </si>
  <si>
    <t>Delloite</t>
  </si>
  <si>
    <t>Product Owner</t>
  </si>
  <si>
    <t>Prathima</t>
  </si>
  <si>
    <t>bonam</t>
  </si>
  <si>
    <t>Credit Acceptance</t>
  </si>
  <si>
    <t>QA Automation Engineer</t>
  </si>
  <si>
    <t>Dr Tom</t>
  </si>
  <si>
    <t>Starke</t>
  </si>
  <si>
    <t>AAA Quants</t>
  </si>
  <si>
    <t>Nirav</t>
  </si>
  <si>
    <t>OnPoint Insights</t>
  </si>
  <si>
    <t>XNSIO</t>
  </si>
  <si>
    <t>Srijak</t>
  </si>
  <si>
    <t>Bhaumik</t>
  </si>
  <si>
    <t>IBM India Private Limited</t>
  </si>
  <si>
    <t>Rajkumar</t>
  </si>
  <si>
    <t>Mylvaganan</t>
  </si>
  <si>
    <t>WABCO</t>
  </si>
  <si>
    <t>Lead Consultant | Smart Factory</t>
  </si>
  <si>
    <t>Mahesh Kumar</t>
  </si>
  <si>
    <t>Chaganti</t>
  </si>
  <si>
    <t>Senior Manager - HUB PMO, FRA Operations</t>
  </si>
  <si>
    <t>Saurabh</t>
  </si>
  <si>
    <t>Gera</t>
  </si>
  <si>
    <t>Dell International Services India Private Limited</t>
  </si>
  <si>
    <t>Account Executive</t>
  </si>
  <si>
    <t>Sudheera</t>
  </si>
  <si>
    <t>Vanguri</t>
  </si>
  <si>
    <t>Lead PM, NLP - Language AI products</t>
  </si>
  <si>
    <t>Sadanand</t>
  </si>
  <si>
    <t>Sutar</t>
  </si>
  <si>
    <t>Victor</t>
  </si>
  <si>
    <t>Bailey</t>
  </si>
  <si>
    <t>Client Success Manager</t>
  </si>
  <si>
    <t>Sarthak</t>
  </si>
  <si>
    <t>Mordor Intelligence</t>
  </si>
  <si>
    <t>Research Analyst | ICT</t>
  </si>
  <si>
    <t>kurella</t>
  </si>
  <si>
    <t>Woolworths Supermarkets</t>
  </si>
  <si>
    <t>Inventory Manager</t>
  </si>
  <si>
    <t>laxmi</t>
  </si>
  <si>
    <t>sarki</t>
  </si>
  <si>
    <t>Taaraka</t>
  </si>
  <si>
    <t>Data Science Intern</t>
  </si>
  <si>
    <t>Oniondev Technologies Pvt Ltd</t>
  </si>
  <si>
    <t>Member Of Technical Staff</t>
  </si>
  <si>
    <t>Manav</t>
  </si>
  <si>
    <t>FIDIUS Advisory</t>
  </si>
  <si>
    <t>Harneet</t>
  </si>
  <si>
    <t>EXL</t>
  </si>
  <si>
    <t>Mahmoud</t>
  </si>
  <si>
    <t>Aljabary</t>
  </si>
  <si>
    <t>m06</t>
  </si>
  <si>
    <t>Aakash</t>
  </si>
  <si>
    <t>Basu</t>
  </si>
  <si>
    <t>PwC India</t>
  </si>
  <si>
    <t>Data Consultant</t>
  </si>
  <si>
    <t>Shriniwas</t>
  </si>
  <si>
    <t>Ayyer</t>
  </si>
  <si>
    <t>Zocdoc</t>
  </si>
  <si>
    <t>Satish</t>
  </si>
  <si>
    <t>VT</t>
  </si>
  <si>
    <t xml:space="preserve">Data Science Researcher &amp; Solution Architect </t>
  </si>
  <si>
    <t>Navaneesh</t>
  </si>
  <si>
    <t>Gangala</t>
  </si>
  <si>
    <t>Bombay Jewellery</t>
  </si>
  <si>
    <t>Partner, Chief Digital Officer</t>
  </si>
  <si>
    <t>Kaushik</t>
  </si>
  <si>
    <t>Mysuru Consulting Group</t>
  </si>
  <si>
    <t>Machine Learning Engineer 2</t>
  </si>
  <si>
    <t>Thirumalesh</t>
  </si>
  <si>
    <t>Konathala</t>
  </si>
  <si>
    <t>AVP - Analytics Center Of Excellence (ACOE)</t>
  </si>
  <si>
    <t>Dipesh</t>
  </si>
  <si>
    <t>Chetry</t>
  </si>
  <si>
    <t>Slofty Technologies Pvt Ltd</t>
  </si>
  <si>
    <t>Kunderu</t>
  </si>
  <si>
    <t>Hari krishna</t>
  </si>
  <si>
    <t>Media iQ Digital India Pvt. Ltd</t>
  </si>
  <si>
    <t>Sandeep Kumar</t>
  </si>
  <si>
    <t>Poloju</t>
  </si>
  <si>
    <t>Techurate Systems Pvt. Ltd.</t>
  </si>
  <si>
    <t>Somenath</t>
  </si>
  <si>
    <t>Sit</t>
  </si>
  <si>
    <t>Manager - Data Science</t>
  </si>
  <si>
    <t>Dilip Kumar</t>
  </si>
  <si>
    <t>Chittimilla</t>
  </si>
  <si>
    <t>Cherukupalli</t>
  </si>
  <si>
    <t>Comptroller State Of Texas</t>
  </si>
  <si>
    <t>Senior Peoplesoft Consultant</t>
  </si>
  <si>
    <t>Ravi Teja</t>
  </si>
  <si>
    <t>Palaparthi</t>
  </si>
  <si>
    <t>TapChief</t>
  </si>
  <si>
    <t>Operations</t>
  </si>
  <si>
    <t>Nayeema</t>
  </si>
  <si>
    <t>Sulthana</t>
  </si>
  <si>
    <t>ACSESTECH Consulting Services</t>
  </si>
  <si>
    <t xml:space="preserve">Senior HR Analyst/Talent Acquisition/Client Relations </t>
  </si>
  <si>
    <t>Shankha</t>
  </si>
  <si>
    <t>AVP - Marketing Analytics</t>
  </si>
  <si>
    <t>Bhasker</t>
  </si>
  <si>
    <t>Manash Jyoti</t>
  </si>
  <si>
    <t>American Express</t>
  </si>
  <si>
    <t>Director, Data Science &amp; Machine Learning</t>
  </si>
  <si>
    <t>Atri</t>
  </si>
  <si>
    <t>S&amp;P Global Platts</t>
  </si>
  <si>
    <t>Senior Data Consultant</t>
  </si>
  <si>
    <t>Siti</t>
  </si>
  <si>
    <t>Ghazali FCCA</t>
  </si>
  <si>
    <t>ITHR Group plc</t>
  </si>
  <si>
    <t>Management Accountant</t>
  </si>
  <si>
    <t>Abira</t>
  </si>
  <si>
    <t>Chattopadhyay</t>
  </si>
  <si>
    <t xml:space="preserve">Asmaka Ventures - a Tech Start Up unveiling the Power of Data </t>
  </si>
  <si>
    <t>IP Creator</t>
  </si>
  <si>
    <t>Sohail</t>
  </si>
  <si>
    <t>PVH Europe B.V.</t>
  </si>
  <si>
    <t>Abhinithi</t>
  </si>
  <si>
    <t>Katharaju</t>
  </si>
  <si>
    <t>Statistical Expert</t>
  </si>
  <si>
    <t>Svet</t>
  </si>
  <si>
    <t>Dimov</t>
  </si>
  <si>
    <t>FinanceDev.com LLC</t>
  </si>
  <si>
    <t>Financial Repoting, Modeling and Analysis</t>
  </si>
  <si>
    <t>Tamaghna</t>
  </si>
  <si>
    <t>Basu, GCIH,OSCP</t>
  </si>
  <si>
    <t>neoEYED Inc.</t>
  </si>
  <si>
    <t>SAI</t>
  </si>
  <si>
    <t>SANKAR</t>
  </si>
  <si>
    <t>Dell Technologies</t>
  </si>
  <si>
    <t>Advisor data intelligence</t>
  </si>
  <si>
    <t xml:space="preserve">Pavan Kumar </t>
  </si>
  <si>
    <t>Battula</t>
  </si>
  <si>
    <t>Product Developer</t>
  </si>
  <si>
    <t>STATESTREET HCL SERVICES (INDIA) PRIVATE LIMITED</t>
  </si>
  <si>
    <t>Associate Manager</t>
  </si>
  <si>
    <t>vijay</t>
  </si>
  <si>
    <t>rajput</t>
  </si>
  <si>
    <t>Mega Networks Pvt.Ltd.</t>
  </si>
  <si>
    <t>Server &amp; Storage Specialist</t>
  </si>
  <si>
    <t>Dinesh Singh</t>
  </si>
  <si>
    <t>Bhauryal</t>
  </si>
  <si>
    <t>Kronos Incorporated</t>
  </si>
  <si>
    <t>Lead Software Engineer</t>
  </si>
  <si>
    <t>Mayukh</t>
  </si>
  <si>
    <t>Dass</t>
  </si>
  <si>
    <t>Texas Tech University - Rawls College of Business</t>
  </si>
  <si>
    <t>Associate Dean of Graduate Programs and Research</t>
  </si>
  <si>
    <t>ANANTH</t>
  </si>
  <si>
    <t>TR</t>
  </si>
  <si>
    <t>Oracle Applications Users Group</t>
  </si>
  <si>
    <t>Functional Consultant</t>
  </si>
  <si>
    <t>Niharika</t>
  </si>
  <si>
    <t>Sray</t>
  </si>
  <si>
    <t>Specialist</t>
  </si>
  <si>
    <t>Kurhekar</t>
  </si>
  <si>
    <t>Envestnet | Yodlee</t>
  </si>
  <si>
    <t>Director Data Science Solutions</t>
  </si>
  <si>
    <t>Bhimesh</t>
  </si>
  <si>
    <t>General developers</t>
  </si>
  <si>
    <t>CEO &amp; Co-Founder</t>
  </si>
  <si>
    <t>Parexel</t>
  </si>
  <si>
    <t xml:space="preserve">Manager, Statistical Programming </t>
  </si>
  <si>
    <t>Roger</t>
  </si>
  <si>
    <t>Mannekin</t>
  </si>
  <si>
    <t>Recruiter</t>
  </si>
  <si>
    <t>IQVIA</t>
  </si>
  <si>
    <t>Manager - Strategy and Planning/ Sr Consultant (Consulting business)</t>
  </si>
  <si>
    <t>Dinesh</t>
  </si>
  <si>
    <t>Pillaipakkamnatt</t>
  </si>
  <si>
    <t>Sineflex Solutions</t>
  </si>
  <si>
    <t>Jishnu</t>
  </si>
  <si>
    <t>praveen</t>
  </si>
  <si>
    <t>Aftech Group</t>
  </si>
  <si>
    <t>Jusvinder</t>
  </si>
  <si>
    <t>VMware</t>
  </si>
  <si>
    <t>Engineering Manager</t>
  </si>
  <si>
    <t>Nijil</t>
  </si>
  <si>
    <t>Ericsson</t>
  </si>
  <si>
    <t>Omprakash</t>
  </si>
  <si>
    <t>Kasaraboina</t>
  </si>
  <si>
    <t>ScaledV Consultancy Pte. Ltd.</t>
  </si>
  <si>
    <t>Srinivas</t>
  </si>
  <si>
    <t>Kamma</t>
  </si>
  <si>
    <t>Clarivate Analytics</t>
  </si>
  <si>
    <t>SR HR Data Analyst Workday Functional</t>
  </si>
  <si>
    <t>Divya</t>
  </si>
  <si>
    <t>Teja</t>
  </si>
  <si>
    <t>Acsestech</t>
  </si>
  <si>
    <t xml:space="preserve">Damaraju </t>
  </si>
  <si>
    <t>Kaarya Consulting Services Pvt. Ltd.</t>
  </si>
  <si>
    <t>Gundala</t>
  </si>
  <si>
    <t>Techno-Comp Computer Services Pvt. Ltd</t>
  </si>
  <si>
    <t>Krishnakanth</t>
  </si>
  <si>
    <t>Ummeda</t>
  </si>
  <si>
    <t>Cigniti Technolgies Ltd</t>
  </si>
  <si>
    <t>Process Manager</t>
  </si>
  <si>
    <t>Kishor</t>
  </si>
  <si>
    <t>Digikonn Technology</t>
  </si>
  <si>
    <t>Chandrasekhar</t>
  </si>
  <si>
    <t>Nandigama, PMP</t>
  </si>
  <si>
    <t>Sutherland Healthcare Solutions</t>
  </si>
  <si>
    <t>Shashy</t>
  </si>
  <si>
    <t>Inukonda</t>
  </si>
  <si>
    <t>American Tire Distributors</t>
  </si>
  <si>
    <t>SQA Lead Architect</t>
  </si>
  <si>
    <t>Sanket</t>
  </si>
  <si>
    <t>Dhurandhar</t>
  </si>
  <si>
    <t xml:space="preserve">Amazon Internet Services Pvt. Ltd. </t>
  </si>
  <si>
    <t>India Head - AI &amp; Machine Learning</t>
  </si>
  <si>
    <t>Anindya</t>
  </si>
  <si>
    <t>Ghose</t>
  </si>
  <si>
    <t>NYU Stern School of Business</t>
  </si>
  <si>
    <t>Heinz Riehl Chair Professor of Business</t>
  </si>
  <si>
    <t>Gagandeep</t>
  </si>
  <si>
    <t>Bhatia</t>
  </si>
  <si>
    <t>SapientNitro</t>
  </si>
  <si>
    <t>Manager, Marketing Strategy &amp; Analysis</t>
  </si>
  <si>
    <t>Institute of</t>
  </si>
  <si>
    <t>Actuaries of India</t>
  </si>
  <si>
    <t>Institute of Actuaries of India</t>
  </si>
  <si>
    <t>IAI</t>
  </si>
  <si>
    <t>Mukul</t>
  </si>
  <si>
    <t>Dell</t>
  </si>
  <si>
    <t>Sajid</t>
  </si>
  <si>
    <t>Khan</t>
  </si>
  <si>
    <t>Senior Director -- Global Delivery</t>
  </si>
  <si>
    <t>Radouane</t>
  </si>
  <si>
    <t>EL KHCHINE</t>
  </si>
  <si>
    <t>CONFIDENTIEL</t>
  </si>
  <si>
    <t>Consultant Data Scientist</t>
  </si>
  <si>
    <t>Khake</t>
  </si>
  <si>
    <t>QuantFarm</t>
  </si>
  <si>
    <t>Narayanan</t>
  </si>
  <si>
    <t>Infiswift Technologies</t>
  </si>
  <si>
    <t>Renuka Balkrishna</t>
  </si>
  <si>
    <t>Linked for Business</t>
  </si>
  <si>
    <t>Chief Talent Officer &amp; Senior VP</t>
  </si>
  <si>
    <t>Dr.Dinesh Chandrasekar</t>
  </si>
  <si>
    <t xml:space="preserve">DCâŸ </t>
  </si>
  <si>
    <t>Pactera</t>
  </si>
  <si>
    <t>Vice President, Chief Solutions &amp; Innovation Head</t>
  </si>
  <si>
    <t>Mcklein</t>
  </si>
  <si>
    <t>Javeri</t>
  </si>
  <si>
    <t>easyJet</t>
  </si>
  <si>
    <t>Senior Strategy Manager</t>
  </si>
  <si>
    <t>Abhijeet</t>
  </si>
  <si>
    <t>Fiserv</t>
  </si>
  <si>
    <t>Associate Data Scientist</t>
  </si>
  <si>
    <t>Viswanadham</t>
  </si>
  <si>
    <t>Chivukula</t>
  </si>
  <si>
    <t>Ravindra</t>
  </si>
  <si>
    <t>Peddinti</t>
  </si>
  <si>
    <t>MSBI Architect</t>
  </si>
  <si>
    <t>Singaravelu</t>
  </si>
  <si>
    <t>Self Employed</t>
  </si>
  <si>
    <t>Senior Technical Consultant</t>
  </si>
  <si>
    <t>Ajeeth</t>
  </si>
  <si>
    <t>Majhi</t>
  </si>
  <si>
    <t>CreditVidya</t>
  </si>
  <si>
    <t>Data Scientist - I</t>
  </si>
  <si>
    <t>Deepti</t>
  </si>
  <si>
    <t>Tomar</t>
  </si>
  <si>
    <t>HARMAN International</t>
  </si>
  <si>
    <t>Process Architect</t>
  </si>
  <si>
    <t>Lakshmi J</t>
  </si>
  <si>
    <t>Ajit</t>
  </si>
  <si>
    <t>iSpace</t>
  </si>
  <si>
    <t>Director HR - Eliptico IT Solutions Private Limited (An iSpace Inc. Enterprise)</t>
  </si>
  <si>
    <t>Chopra âœ…</t>
  </si>
  <si>
    <t>Edutech Multimedia</t>
  </si>
  <si>
    <t>Kavuta, PRINCE2â„¢, PSM</t>
  </si>
  <si>
    <t>Senior Architect</t>
  </si>
  <si>
    <t>Pohar</t>
  </si>
  <si>
    <t>OBIEE/OBIA/ODI Developer</t>
  </si>
  <si>
    <t>Besthires.ai (Incubated by the Indian School of Business Hyderabad)</t>
  </si>
  <si>
    <t>CEO and Cofounder</t>
  </si>
  <si>
    <t>Dropbox</t>
  </si>
  <si>
    <t>Digital Optimization Analyst</t>
  </si>
  <si>
    <t xml:space="preserve">Raghava </t>
  </si>
  <si>
    <t>Mohith</t>
  </si>
  <si>
    <t>INCOR Group</t>
  </si>
  <si>
    <t>Human Resource Trainee</t>
  </si>
  <si>
    <t>Bruce</t>
  </si>
  <si>
    <t>Ratner, PhD</t>
  </si>
  <si>
    <t>DM STAT-1 Consulting</t>
  </si>
  <si>
    <t>Nivya</t>
  </si>
  <si>
    <t>Vijayan</t>
  </si>
  <si>
    <t>Software Design Engineer In Test</t>
  </si>
  <si>
    <t>Sachar</t>
  </si>
  <si>
    <t>Fractal Analytics</t>
  </si>
  <si>
    <t>Khajuria</t>
  </si>
  <si>
    <t>Deutsche Bank</t>
  </si>
  <si>
    <t>Business Functional Analyst</t>
  </si>
  <si>
    <t>Purna</t>
  </si>
  <si>
    <t>Duggirala</t>
  </si>
  <si>
    <t>Chandoo.org</t>
  </si>
  <si>
    <t>Chief Excel Officer</t>
  </si>
  <si>
    <t>Tom</t>
  </si>
  <si>
    <t>Urtis</t>
  </si>
  <si>
    <t>Atlas Programming Management, Inc.</t>
  </si>
  <si>
    <t>Davor</t>
  </si>
  <si>
    <t>Geci</t>
  </si>
  <si>
    <t>Virtual Forms - NEW Excel GUI &amp; Python GUI Forms (Data Entry Forms for Windows Desktop apps)</t>
  </si>
  <si>
    <t>Arihant</t>
  </si>
  <si>
    <t>Vodafone Idea Limited</t>
  </si>
  <si>
    <t>General Manager - Senior Data Scientist</t>
  </si>
  <si>
    <t>Jairav</t>
  </si>
  <si>
    <t>GS Lab</t>
  </si>
  <si>
    <t>Dr. Indranil</t>
  </si>
  <si>
    <t>Mitra, PhD, MBA, IPR</t>
  </si>
  <si>
    <t>@Global Financial and Research Organization</t>
  </si>
  <si>
    <t>Partner, Fellow &amp; Head - Digital and Data Science</t>
  </si>
  <si>
    <t>Mohan Gopal</t>
  </si>
  <si>
    <t>Meher</t>
  </si>
  <si>
    <t>Sravan</t>
  </si>
  <si>
    <t>ValueMomentum</t>
  </si>
  <si>
    <t>Software Test Engineer</t>
  </si>
  <si>
    <t>Pranay</t>
  </si>
  <si>
    <t>Co-founder and Chief Executive Officer</t>
  </si>
  <si>
    <t>siva prasad</t>
  </si>
  <si>
    <t>thatiparthi</t>
  </si>
  <si>
    <t>Bonton Holidays Pvt. Ltd.</t>
  </si>
  <si>
    <t>Sr.Manager Sales</t>
  </si>
  <si>
    <t>Chenna</t>
  </si>
  <si>
    <t>EAG Laboratories</t>
  </si>
  <si>
    <t>Manager of Operations, Advanced Imaging</t>
  </si>
  <si>
    <t>Krishna</t>
  </si>
  <si>
    <t>Yellapragada</t>
  </si>
  <si>
    <t>Wavelabs Technologies Private Limited</t>
  </si>
  <si>
    <t>AVP,Global Delivery</t>
  </si>
  <si>
    <t>Ayush</t>
  </si>
  <si>
    <t>Singh Chauhan</t>
  </si>
  <si>
    <t>Student Partner</t>
  </si>
  <si>
    <t>Shrivastava</t>
  </si>
  <si>
    <t>Mohammad</t>
  </si>
  <si>
    <t>Shahebaz</t>
  </si>
  <si>
    <t>Societe Generale Global Solution Centre</t>
  </si>
  <si>
    <t>Sankar</t>
  </si>
  <si>
    <t>Subramaniam</t>
  </si>
  <si>
    <t>CA Technologies a Broadcom Company</t>
  </si>
  <si>
    <t>Head of Engineering (India) - DevOps - Continuous Testing</t>
  </si>
  <si>
    <t>Mudita</t>
  </si>
  <si>
    <t>People Analytics Specialist</t>
  </si>
  <si>
    <t>Madhu Kiran</t>
  </si>
  <si>
    <t>B T S</t>
  </si>
  <si>
    <t>Inmar Technologies Pvt Ltd</t>
  </si>
  <si>
    <t>Vamsi</t>
  </si>
  <si>
    <t>Malgireddy</t>
  </si>
  <si>
    <t>Inspirix Technologies LLC</t>
  </si>
  <si>
    <t>Sudalai</t>
  </si>
  <si>
    <t>Ramanand</t>
  </si>
  <si>
    <t>Parentof</t>
  </si>
  <si>
    <t>Purohit</t>
  </si>
  <si>
    <t>Mahindra Rise</t>
  </si>
  <si>
    <t>Sasha</t>
  </si>
  <si>
    <t>Martin</t>
  </si>
  <si>
    <t>Amperity</t>
  </si>
  <si>
    <t>Principal Technical Recruiter</t>
  </si>
  <si>
    <t>Manu</t>
  </si>
  <si>
    <t>Product Engineering Leader</t>
  </si>
  <si>
    <t>Kunal</t>
  </si>
  <si>
    <t>Ravi Mohan</t>
  </si>
  <si>
    <t>Kuruba</t>
  </si>
  <si>
    <t>LiquidHub</t>
  </si>
  <si>
    <t>THE AI ANDY</t>
  </si>
  <si>
    <t>FITZE</t>
  </si>
  <si>
    <t>SwissCognitive - The Global AI Hub</t>
  </si>
  <si>
    <t>Co Founder - Managing Partner - CIO</t>
  </si>
  <si>
    <t>S</t>
  </si>
  <si>
    <t>Senior Account Strategist</t>
  </si>
  <si>
    <t>Kshitij</t>
  </si>
  <si>
    <t>sharma</t>
  </si>
  <si>
    <t>passcon GmbH</t>
  </si>
  <si>
    <t>Raghunandh</t>
  </si>
  <si>
    <t>G.S</t>
  </si>
  <si>
    <t>Mech Mocha</t>
  </si>
  <si>
    <t>HCL Technologies</t>
  </si>
  <si>
    <t>DevOps</t>
  </si>
  <si>
    <t>Telmo</t>
  </si>
  <si>
    <t>Martins</t>
  </si>
  <si>
    <t>DeepMind</t>
  </si>
  <si>
    <t>John</t>
  </si>
  <si>
    <t>Lead Talent Acquisition Specialist</t>
  </si>
  <si>
    <t>Amol</t>
  </si>
  <si>
    <t xml:space="preserve"> Parkway India Healthcare Private Limited</t>
  </si>
  <si>
    <t>TrumpExcel.com</t>
  </si>
  <si>
    <t>Excelpreneur</t>
  </si>
  <si>
    <t>Vidya Charan</t>
  </si>
  <si>
    <t>Kapalli</t>
  </si>
  <si>
    <t>RealPage, Inc.</t>
  </si>
  <si>
    <t>Technovert</t>
  </si>
  <si>
    <t>Senior Vice President Of Technology</t>
  </si>
  <si>
    <t>SV Ravisankar</t>
  </si>
  <si>
    <t>Ponangi</t>
  </si>
  <si>
    <t>Goldmount Dental Limited</t>
  </si>
  <si>
    <t>Anto Franklin</t>
  </si>
  <si>
    <t>Christuraj</t>
  </si>
  <si>
    <t>Jahia Solutions</t>
  </si>
  <si>
    <t>Data Marketer / Growth Hacker</t>
  </si>
  <si>
    <t>sanskriti</t>
  </si>
  <si>
    <t>singh</t>
  </si>
  <si>
    <t>Aarch Analytics</t>
  </si>
  <si>
    <t>Recruitment Head Analytics &amp; Technology</t>
  </si>
  <si>
    <t>Jerome</t>
  </si>
  <si>
    <t>Josephraj</t>
  </si>
  <si>
    <t>HM Revenue &amp; Customs</t>
  </si>
  <si>
    <t>Java Tech Lead</t>
  </si>
  <si>
    <t>Sriraman</t>
  </si>
  <si>
    <t>MUST Research Club</t>
  </si>
  <si>
    <t>Volunteer</t>
  </si>
  <si>
    <t>Dev</t>
  </si>
  <si>
    <t>ZEE5</t>
  </si>
  <si>
    <t>Anjali</t>
  </si>
  <si>
    <t>Garg</t>
  </si>
  <si>
    <t>Unilever</t>
  </si>
  <si>
    <t>Analytics Manager</t>
  </si>
  <si>
    <t>Vekram</t>
  </si>
  <si>
    <t>Jenarthanan</t>
  </si>
  <si>
    <t>PwC US Advisory</t>
  </si>
  <si>
    <t>Ashok Kumar</t>
  </si>
  <si>
    <t>Putsala</t>
  </si>
  <si>
    <t>Kshitiz</t>
  </si>
  <si>
    <t>Dwiraj</t>
  </si>
  <si>
    <t>Bose</t>
  </si>
  <si>
    <t>Bajaj Allianz General Insurance Co. Ltd.</t>
  </si>
  <si>
    <t>Senior Vice President and Head of Analytics</t>
  </si>
  <si>
    <t>Sajjan</t>
  </si>
  <si>
    <t>NTT DATA Services</t>
  </si>
  <si>
    <t>Director - Business Analytics</t>
  </si>
  <si>
    <t>Pothapragada</t>
  </si>
  <si>
    <t>C&amp;S Wholesale Grocers</t>
  </si>
  <si>
    <t>Oracle EBS Consultant</t>
  </si>
  <si>
    <t>S Shukla</t>
  </si>
  <si>
    <t>Macedo</t>
  </si>
  <si>
    <t>Compliancy Group</t>
  </si>
  <si>
    <t>Partner Channel Manager</t>
  </si>
  <si>
    <t>Sreekanth</t>
  </si>
  <si>
    <t>Simhadri</t>
  </si>
  <si>
    <t>Senior Manager Delivery</t>
  </si>
  <si>
    <t>Krishnadas</t>
  </si>
  <si>
    <t>Barclays</t>
  </si>
  <si>
    <t>Assistant VP, Lead Data Analyst</t>
  </si>
  <si>
    <t>Murali</t>
  </si>
  <si>
    <t>Mohan</t>
  </si>
  <si>
    <t>Honeywell Technology Solutions, Inc.</t>
  </si>
  <si>
    <t>Technology Specialist - Quality</t>
  </si>
  <si>
    <t>Uma</t>
  </si>
  <si>
    <t>Bheemavarapu</t>
  </si>
  <si>
    <t>Talent Acquisition Team</t>
  </si>
  <si>
    <t>Bhupesh</t>
  </si>
  <si>
    <t>Daheria</t>
  </si>
  <si>
    <t>Aegis School of Business, Data Science and Telecommunication</t>
  </si>
  <si>
    <t>Shiva kumar</t>
  </si>
  <si>
    <t>AVULA</t>
  </si>
  <si>
    <t>Kommuri Pratap Reddy Institute of Technology</t>
  </si>
  <si>
    <t>Training and placement officer</t>
  </si>
  <si>
    <t>Sudipta Malakar,CSP,</t>
  </si>
  <si>
    <t>KLMM,CDL,KMM,CSPO,KMP,A-CSM,ICP-ACC,TKP</t>
  </si>
  <si>
    <t>Sr. Project Manager, Agile Coach</t>
  </si>
  <si>
    <t>ShopX - 10i Commerce Services Pvt Ltd</t>
  </si>
  <si>
    <t>Digital Marketing Executive</t>
  </si>
  <si>
    <t>Josyula</t>
  </si>
  <si>
    <t>ATMECS Technologies Pvt Ltd</t>
  </si>
  <si>
    <t>Senior Data Analyst</t>
  </si>
  <si>
    <t>Dr. Angshuman Ghosh</t>
  </si>
  <si>
    <t>(PhD, MBA, BE)</t>
  </si>
  <si>
    <t>Senior Manager, Data Science &amp; Marketing</t>
  </si>
  <si>
    <t>Sailal</t>
  </si>
  <si>
    <t>GRAMENER TECHNOLOGY SOLUTIONS PRIVATE LIMITED</t>
  </si>
  <si>
    <t>Aditi</t>
  </si>
  <si>
    <t>Avaszthi</t>
  </si>
  <si>
    <t>Embibe</t>
  </si>
  <si>
    <t>Chief Executive Officer/ Founder</t>
  </si>
  <si>
    <t>Lisha</t>
  </si>
  <si>
    <t>Director - Financial Services</t>
  </si>
  <si>
    <t>Bharat</t>
  </si>
  <si>
    <t xml:space="preserve">Tata Consultancy Services </t>
  </si>
  <si>
    <t>Manager - Analytics</t>
  </si>
  <si>
    <t>Aggarwal</t>
  </si>
  <si>
    <t>Technical Program Manager, Cloud Machine Learning</t>
  </si>
  <si>
    <t>Sravan Kumar</t>
  </si>
  <si>
    <t>Alladi</t>
  </si>
  <si>
    <t>Ramraj</t>
  </si>
  <si>
    <t>Sekar</t>
  </si>
  <si>
    <t>Altimetrik</t>
  </si>
  <si>
    <t>Staff Software Engineer</t>
  </si>
  <si>
    <t>Safalini</t>
  </si>
  <si>
    <t>IDBI Bank</t>
  </si>
  <si>
    <t>Devara Kumar</t>
  </si>
  <si>
    <t>Paluri</t>
  </si>
  <si>
    <t>SDM - Analytics / Data Science</t>
  </si>
  <si>
    <t>sai supriya</t>
  </si>
  <si>
    <t>pisipati</t>
  </si>
  <si>
    <t>Natco Pharma (Canada) Inc.</t>
  </si>
  <si>
    <t>Executive</t>
  </si>
  <si>
    <t>Oracle India Pvt. Ltd</t>
  </si>
  <si>
    <t>Director, HCM Cloud Development</t>
  </si>
  <si>
    <t>vishnu</t>
  </si>
  <si>
    <t>priya</t>
  </si>
  <si>
    <t>saraswathi college of pharmaceutical sciences</t>
  </si>
  <si>
    <t>Asst.Professor</t>
  </si>
  <si>
    <t>Jiandani</t>
  </si>
  <si>
    <t>Paradigm Consulting FZE</t>
  </si>
  <si>
    <t>Senior IT Recruitment Manager</t>
  </si>
  <si>
    <t>Akanksha</t>
  </si>
  <si>
    <t>JYOTHI KUMAR</t>
  </si>
  <si>
    <t>VELADINENI</t>
  </si>
  <si>
    <t>Toshiba Transmission &amp; Distribution Systems (India) Private Limited</t>
  </si>
  <si>
    <t>Assistant Procurement Manager</t>
  </si>
  <si>
    <t>Narasimha Raju</t>
  </si>
  <si>
    <t>Alluru</t>
  </si>
  <si>
    <t>Ashok</t>
  </si>
  <si>
    <t>Chava</t>
  </si>
  <si>
    <t>Springbok Properties</t>
  </si>
  <si>
    <t>Paid Ads Manager</t>
  </si>
  <si>
    <t>Adarsh Reddy</t>
  </si>
  <si>
    <t>Pathuri</t>
  </si>
  <si>
    <t>Zobit</t>
  </si>
  <si>
    <t>Hemanth</t>
  </si>
  <si>
    <t>Karishma</t>
  </si>
  <si>
    <t>Rao</t>
  </si>
  <si>
    <t>Kantar TNS</t>
  </si>
  <si>
    <t>Research Manager</t>
  </si>
  <si>
    <t>Rama</t>
  </si>
  <si>
    <t>Vempati</t>
  </si>
  <si>
    <t>GENPACT</t>
  </si>
  <si>
    <t>AVP, Data Engineering, Data Science, Machine Learning &amp; AI</t>
  </si>
  <si>
    <t>Rishit</t>
  </si>
  <si>
    <t>Delhivery</t>
  </si>
  <si>
    <t xml:space="preserve">Product Management and Strategy - Data Science and Artificial Intelligence </t>
  </si>
  <si>
    <t>Ashutosh</t>
  </si>
  <si>
    <t>Topey</t>
  </si>
  <si>
    <t>Hitachi Consulting</t>
  </si>
  <si>
    <t>Director Consulting Services</t>
  </si>
  <si>
    <t>Chhajer</t>
  </si>
  <si>
    <t>INTELLISYS TECHNOLOGIES &amp; RESEARCH LTD</t>
  </si>
  <si>
    <t>Jagadesh</t>
  </si>
  <si>
    <t xml:space="preserve">Reddy </t>
  </si>
  <si>
    <t>Franklin Templeton</t>
  </si>
  <si>
    <t>Soniya</t>
  </si>
  <si>
    <t>Pochiraju</t>
  </si>
  <si>
    <t>Vivekananda</t>
  </si>
  <si>
    <t>Analyst, Business Analytics</t>
  </si>
  <si>
    <t>Vissa</t>
  </si>
  <si>
    <t>Preethi</t>
  </si>
  <si>
    <t>Bellamkonda</t>
  </si>
  <si>
    <t>Great Learning</t>
  </si>
  <si>
    <t>Data Science Analyst</t>
  </si>
  <si>
    <t>Chandrashekarappa</t>
  </si>
  <si>
    <t>Honeywell</t>
  </si>
  <si>
    <t>Principal R&amp;D Engineer</t>
  </si>
  <si>
    <t>Rohith</t>
  </si>
  <si>
    <t>AsiaCollect</t>
  </si>
  <si>
    <t>Soubhagya</t>
  </si>
  <si>
    <t>Nasdaq</t>
  </si>
  <si>
    <t>Tirpude</t>
  </si>
  <si>
    <t>ICICI Bank</t>
  </si>
  <si>
    <t>Head - Customer Campaigns and Campaign Analytics</t>
  </si>
  <si>
    <t xml:space="preserve">Palaparthy </t>
  </si>
  <si>
    <t>Srivatsav</t>
  </si>
  <si>
    <t>Nilesh</t>
  </si>
  <si>
    <t>AU SMALL FINANCE BANK</t>
  </si>
  <si>
    <t>Deputy Manager Analytics</t>
  </si>
  <si>
    <t>Anil Kumar</t>
  </si>
  <si>
    <t>Potula</t>
  </si>
  <si>
    <t>Pratim</t>
  </si>
  <si>
    <t>Ghoshal</t>
  </si>
  <si>
    <t>CenturyLink (Formerly Qwest)</t>
  </si>
  <si>
    <t>Karri</t>
  </si>
  <si>
    <t>Almas</t>
  </si>
  <si>
    <t>Mounika</t>
  </si>
  <si>
    <t>Kalidindi</t>
  </si>
  <si>
    <t xml:space="preserve">Tekion India Private Ltd </t>
  </si>
  <si>
    <t>Data Team</t>
  </si>
  <si>
    <t>Sahitya</t>
  </si>
  <si>
    <t>Yerubandi</t>
  </si>
  <si>
    <t>Vidya Sagar</t>
  </si>
  <si>
    <t>Birlangi</t>
  </si>
  <si>
    <t>ZOBIT</t>
  </si>
  <si>
    <t>Aditya Narayan</t>
  </si>
  <si>
    <t>Tavant Technologies UK</t>
  </si>
  <si>
    <t>Associate Technical Architect Big Data Analytics</t>
  </si>
  <si>
    <t>Vamshi</t>
  </si>
  <si>
    <t>Tembe</t>
  </si>
  <si>
    <t>Deputy Manager - Analytics</t>
  </si>
  <si>
    <t>Swami</t>
  </si>
  <si>
    <t>Polnati</t>
  </si>
  <si>
    <t>Senior Software Engineering Manager</t>
  </si>
  <si>
    <t>Harshpal</t>
  </si>
  <si>
    <t>Poonam</t>
  </si>
  <si>
    <t>First Abu Dhabi Bank (FAB)</t>
  </si>
  <si>
    <t>Specialist, Business Intelligence and Data Scientist</t>
  </si>
  <si>
    <t>Ed</t>
  </si>
  <si>
    <t>Van Cise</t>
  </si>
  <si>
    <t>NASA</t>
  </si>
  <si>
    <t>Flight Director</t>
  </si>
  <si>
    <t>Uday Sankar</t>
  </si>
  <si>
    <t>Sastri</t>
  </si>
  <si>
    <t>Sunera Technologies, Inc. (SuneraTech)</t>
  </si>
  <si>
    <t>Director-Automations Evangelist</t>
  </si>
  <si>
    <t>Yaswanth</t>
  </si>
  <si>
    <t>Manikanta</t>
  </si>
  <si>
    <t>AInfinity</t>
  </si>
  <si>
    <t>SUMIT</t>
  </si>
  <si>
    <t>K GHOSH</t>
  </si>
  <si>
    <t>Principal Applied Scientist</t>
  </si>
  <si>
    <t>Vasa</t>
  </si>
  <si>
    <t>Sr.Analyst- Digital Analytics</t>
  </si>
  <si>
    <t>Srujan Teja</t>
  </si>
  <si>
    <t>Gorthi</t>
  </si>
  <si>
    <t>Pushkar</t>
  </si>
  <si>
    <t>Karamungikar</t>
  </si>
  <si>
    <t>Hardik</t>
  </si>
  <si>
    <t>BookMyShow</t>
  </si>
  <si>
    <t>Franky</t>
  </si>
  <si>
    <t>Fernandes</t>
  </si>
  <si>
    <t>Avik</t>
  </si>
  <si>
    <t>Sarkar, Ph.D.</t>
  </si>
  <si>
    <t>Associate Professor, Data, Technology &amp; Public Policy</t>
  </si>
  <si>
    <t>Priyanka</t>
  </si>
  <si>
    <t>Khandelwal</t>
  </si>
  <si>
    <t>McAfee</t>
  </si>
  <si>
    <t>Utreja</t>
  </si>
  <si>
    <t>Senior Applied Data Scientist</t>
  </si>
  <si>
    <t>himanshi</t>
  </si>
  <si>
    <t>gupta</t>
  </si>
  <si>
    <t>Research Associate</t>
  </si>
  <si>
    <t>Supraja</t>
  </si>
  <si>
    <t>IHS Markit Ltd</t>
  </si>
  <si>
    <t>Sr Product Analysis and Design Specialist</t>
  </si>
  <si>
    <t>Ragha</t>
  </si>
  <si>
    <t>Poornachandrarao</t>
  </si>
  <si>
    <t>Gorapalli</t>
  </si>
  <si>
    <t>TCS</t>
  </si>
  <si>
    <t>Vishnuprasad</t>
  </si>
  <si>
    <t>Nagadevara</t>
  </si>
  <si>
    <t>Retired Professor and Dean IIM Bangalore</t>
  </si>
  <si>
    <t>Retired</t>
  </si>
  <si>
    <t>Shankara Narayanan</t>
  </si>
  <si>
    <t>Balasubramanian</t>
  </si>
  <si>
    <t>CHARAN</t>
  </si>
  <si>
    <t>BRAHMANDAM</t>
  </si>
  <si>
    <t>Gillella</t>
  </si>
  <si>
    <t>Data Operations Lead</t>
  </si>
  <si>
    <t>Joy</t>
  </si>
  <si>
    <t>Mustafi</t>
  </si>
  <si>
    <t>Director and Principal Researcher - Salesforce Artificial Intelligence</t>
  </si>
  <si>
    <t>Ravi Chandu</t>
  </si>
  <si>
    <t>Ummadisetti</t>
  </si>
  <si>
    <t>Sudha</t>
  </si>
  <si>
    <t>S P Koushik</t>
  </si>
  <si>
    <t>Maringanti</t>
  </si>
  <si>
    <t>Test Analyst</t>
  </si>
  <si>
    <t>Ashish Soni</t>
  </si>
  <si>
    <t>CTFL, SFC, ATF</t>
  </si>
  <si>
    <t>Systems QA Analyst</t>
  </si>
  <si>
    <t>saireddy</t>
  </si>
  <si>
    <t>velma</t>
  </si>
  <si>
    <t>Fifth Third Bank</t>
  </si>
  <si>
    <t>Java Developer</t>
  </si>
  <si>
    <t>V Nambiar</t>
  </si>
  <si>
    <t>K M</t>
  </si>
  <si>
    <t>Lead Specialist</t>
  </si>
  <si>
    <t>Sagaya</t>
  </si>
  <si>
    <t>Principal TOPI Lead - Data Operations &amp; Data Science</t>
  </si>
  <si>
    <t>Ghate</t>
  </si>
  <si>
    <t>Sr. Vice President and Head - Marketing Analytics</t>
  </si>
  <si>
    <t>Consultant | Application Strategy | Practice Manager</t>
  </si>
  <si>
    <t>Srinu</t>
  </si>
  <si>
    <t>Polireddi</t>
  </si>
  <si>
    <t>SOA Tester</t>
  </si>
  <si>
    <t>Subrata</t>
  </si>
  <si>
    <t>Insights Techhub International Pvt. Ltd.</t>
  </si>
  <si>
    <t>Sr. Vice President</t>
  </si>
  <si>
    <t>Sudip</t>
  </si>
  <si>
    <t>University of Connecticut</t>
  </si>
  <si>
    <t>Dr. Madhan Kumar</t>
  </si>
  <si>
    <t>Analytics Innovation Principal (AVP) &amp; Lead â€“ Cloud AI, ICI Innovation Center</t>
  </si>
  <si>
    <t>Aritra</t>
  </si>
  <si>
    <t>Bharat Financial Inclusion Limited (Formerly known as SKS Microfinance Limited)</t>
  </si>
  <si>
    <t>Jayakrishna</t>
  </si>
  <si>
    <t>GITAM School of Technology,Hyderabad</t>
  </si>
  <si>
    <t>Assistant Professor</t>
  </si>
  <si>
    <t>Sr. Software Development Engineer</t>
  </si>
  <si>
    <t>Jagadeesh</t>
  </si>
  <si>
    <t>Cherala</t>
  </si>
  <si>
    <t>iQuanti, Inc.</t>
  </si>
  <si>
    <t>Associate Resource Manager</t>
  </si>
  <si>
    <t>Laxman kumar</t>
  </si>
  <si>
    <t>Pagadala</t>
  </si>
  <si>
    <t>Lakshmana</t>
  </si>
  <si>
    <t xml:space="preserve"> Reddy ( SA, SPC4)</t>
  </si>
  <si>
    <t>Temenos + Agility</t>
  </si>
  <si>
    <t>Tripp</t>
  </si>
  <si>
    <t>Clemson University</t>
  </si>
  <si>
    <t>Alur</t>
  </si>
  <si>
    <t>Director - Microsoft Technology Center</t>
  </si>
  <si>
    <t>Patil</t>
  </si>
  <si>
    <t>QAI</t>
  </si>
  <si>
    <t>Manager - Business Development</t>
  </si>
  <si>
    <t>Shilpa</t>
  </si>
  <si>
    <t>Vancha</t>
  </si>
  <si>
    <t>Toyota North America</t>
  </si>
  <si>
    <t>ETL Developer</t>
  </si>
  <si>
    <t>Ojas</t>
  </si>
  <si>
    <t>Malpani</t>
  </si>
  <si>
    <t>Sattva Consulting</t>
  </si>
  <si>
    <t>Neeraj</t>
  </si>
  <si>
    <t>Tiwary</t>
  </si>
  <si>
    <t>Astro</t>
  </si>
  <si>
    <t>Senior AVP - Senior Data Scientist</t>
  </si>
  <si>
    <t>Praneeth</t>
  </si>
  <si>
    <t>Anthem</t>
  </si>
  <si>
    <t>Scrum Master</t>
  </si>
  <si>
    <t>Chittaranjan</t>
  </si>
  <si>
    <t>LendingTree</t>
  </si>
  <si>
    <t>Test Engineer II</t>
  </si>
  <si>
    <t>Mitesh</t>
  </si>
  <si>
    <t>Vora</t>
  </si>
  <si>
    <t>Flextronics</t>
  </si>
  <si>
    <t>Director - Advanced Analytics CoE</t>
  </si>
  <si>
    <t>Sandeep K</t>
  </si>
  <si>
    <t>Variyath</t>
  </si>
  <si>
    <t>Oracle Application Testing Suite (OATS) Consultant</t>
  </si>
  <si>
    <t>chandrika</t>
  </si>
  <si>
    <t>jonnalgadda</t>
  </si>
  <si>
    <t>Human Resources Manager</t>
  </si>
  <si>
    <t>Santhosh Manchala</t>
  </si>
  <si>
    <t>M.B.A, PMP, CSCP</t>
  </si>
  <si>
    <t>WW (formerly Weight Watchers)</t>
  </si>
  <si>
    <t>Oracle Functional Analyst</t>
  </si>
  <si>
    <t>Sampath</t>
  </si>
  <si>
    <t>Manager - CAS Process</t>
  </si>
  <si>
    <t>Chennavajhula</t>
  </si>
  <si>
    <t>Sarangapani</t>
  </si>
  <si>
    <t>Pravin</t>
  </si>
  <si>
    <t>Mata, PMP</t>
  </si>
  <si>
    <t>IT Convergence</t>
  </si>
  <si>
    <t>Associate Director - Oracle EBS/Fusion</t>
  </si>
  <si>
    <t>Puri</t>
  </si>
  <si>
    <t>A leading group in US Healthcare domain having 2000 employees globally</t>
  </si>
  <si>
    <t>Vice President Human Resources</t>
  </si>
  <si>
    <t>Balwani</t>
  </si>
  <si>
    <t>Senior Manager Quality Assurance</t>
  </si>
  <si>
    <t>Schauff Projektmanagement GmbH</t>
  </si>
  <si>
    <t>Scrum Coach / Master, Senior IT Projektleiter</t>
  </si>
  <si>
    <t>K Y</t>
  </si>
  <si>
    <t>Sreenivasa Rao</t>
  </si>
  <si>
    <t>C-Vision Inc.</t>
  </si>
  <si>
    <t>Head - Talent Aquisition (Offshore)</t>
  </si>
  <si>
    <t>Shilpa Goud</t>
  </si>
  <si>
    <t>Mahadevini</t>
  </si>
  <si>
    <t>Scrum Master /Project Management</t>
  </si>
  <si>
    <t>Neetu</t>
  </si>
  <si>
    <t>Gaur, CBAPÂ®</t>
  </si>
  <si>
    <t>JK Technosoft Limited.</t>
  </si>
  <si>
    <t>Manchala</t>
  </si>
  <si>
    <t>Software Engineer II</t>
  </si>
  <si>
    <t>Sai Pradeep</t>
  </si>
  <si>
    <t>Surapaneni</t>
  </si>
  <si>
    <t>Consultant Associate</t>
  </si>
  <si>
    <t>Harish Kumar</t>
  </si>
  <si>
    <t>Katam</t>
  </si>
  <si>
    <t>Mindteck India Limited</t>
  </si>
  <si>
    <t>Senior Embedded Software Engineer</t>
  </si>
  <si>
    <t>Saxena</t>
  </si>
  <si>
    <t>Senior Manager - Quality</t>
  </si>
  <si>
    <t>Diwakar</t>
  </si>
  <si>
    <t>Varadharajan</t>
  </si>
  <si>
    <t>Freshworks</t>
  </si>
  <si>
    <t>Sales Business Development Consultant</t>
  </si>
  <si>
    <t>Ravi</t>
  </si>
  <si>
    <t>Sindri</t>
  </si>
  <si>
    <t>Sr. Director - Global Delivery</t>
  </si>
  <si>
    <t>Vemuri</t>
  </si>
  <si>
    <t>VP - Process &amp; Operations</t>
  </si>
  <si>
    <t>Shreya</t>
  </si>
  <si>
    <t>Mahakali</t>
  </si>
  <si>
    <t>Senior Test Engineer</t>
  </si>
  <si>
    <t>Vanisha</t>
  </si>
  <si>
    <t>Eranti</t>
  </si>
  <si>
    <t>InfoSys Ltd.</t>
  </si>
  <si>
    <t>Technology Analyst</t>
  </si>
  <si>
    <t>Manager - Presales and Solution</t>
  </si>
  <si>
    <t>Sasidhar</t>
  </si>
  <si>
    <t>Sirimalla, PMP</t>
  </si>
  <si>
    <t>Ekansh</t>
  </si>
  <si>
    <t>Ragini</t>
  </si>
  <si>
    <t>Bhanukunta</t>
  </si>
  <si>
    <t>Senior Business System Consultant</t>
  </si>
  <si>
    <t>Thota</t>
  </si>
  <si>
    <t xml:space="preserve">Principal | Business Excellence </t>
  </si>
  <si>
    <t>Srimushnam</t>
  </si>
  <si>
    <t>Aralikate Subramanya</t>
  </si>
  <si>
    <t>Marathonqtech Solutions Pvt Ltd</t>
  </si>
  <si>
    <t>Entrepreneur and Investor</t>
  </si>
  <si>
    <t>Vinod kumar</t>
  </si>
  <si>
    <t>Satveli</t>
  </si>
  <si>
    <t>Bhanu Prasad</t>
  </si>
  <si>
    <t>Gullapalli</t>
  </si>
  <si>
    <t>Manager Operational Excellence</t>
  </si>
  <si>
    <t>Shekhar</t>
  </si>
  <si>
    <t>KVK</t>
  </si>
  <si>
    <t>TEJAS</t>
  </si>
  <si>
    <t>JOSHI</t>
  </si>
  <si>
    <t>Suman</t>
  </si>
  <si>
    <t>Nandamury</t>
  </si>
  <si>
    <t>Hitgoalz</t>
  </si>
  <si>
    <t>Customer Success Evangelist</t>
  </si>
  <si>
    <t>Diptangshu</t>
  </si>
  <si>
    <t>Hazra</t>
  </si>
  <si>
    <t>Senior Test Specialist</t>
  </si>
  <si>
    <t>Tomasz</t>
  </si>
  <si>
    <t>Pokrywka</t>
  </si>
  <si>
    <t>ABB</t>
  </si>
  <si>
    <t>Vice President, Global Quality</t>
  </si>
  <si>
    <t>Virginia Belli Colon</t>
  </si>
  <si>
    <t>(LION)</t>
  </si>
  <si>
    <t>Experis Switzerland</t>
  </si>
  <si>
    <t>Dhavala</t>
  </si>
  <si>
    <t>Vasudeva Rao</t>
  </si>
  <si>
    <t>Karanki</t>
  </si>
  <si>
    <t>L.A. Care Health Plan</t>
  </si>
  <si>
    <t>Lead Oracle Fusion Middleware Developer</t>
  </si>
  <si>
    <t>Barrington</t>
  </si>
  <si>
    <t>Software Quality Assurance Manager</t>
  </si>
  <si>
    <t>Trinath Babu</t>
  </si>
  <si>
    <t>Areti</t>
  </si>
  <si>
    <t>Delivery Manager</t>
  </si>
  <si>
    <t>Thirupathi Rao</t>
  </si>
  <si>
    <t>Vivaramneni</t>
  </si>
  <si>
    <t>Technology Architect</t>
  </si>
  <si>
    <t>k.pradeep</t>
  </si>
  <si>
    <t>Park Hyatt Hyderabad</t>
  </si>
  <si>
    <t>Sous chef</t>
  </si>
  <si>
    <t xml:space="preserve">Sowmya </t>
  </si>
  <si>
    <t>Pattaje</t>
  </si>
  <si>
    <t>L&amp;T Technology Services Limited</t>
  </si>
  <si>
    <t>Program Quality Management</t>
  </si>
  <si>
    <t>Sandra</t>
  </si>
  <si>
    <t>Gaston</t>
  </si>
  <si>
    <t>Data Integrity Quality Assurance</t>
  </si>
  <si>
    <t>Solomon</t>
  </si>
  <si>
    <t>Praveen Kumar</t>
  </si>
  <si>
    <t>First America Financial corporation</t>
  </si>
  <si>
    <t>Manager Enterprise Applications</t>
  </si>
  <si>
    <t>Manikya Girish</t>
  </si>
  <si>
    <t>Rali</t>
  </si>
  <si>
    <t>Shivani</t>
  </si>
  <si>
    <t>Sugandha</t>
  </si>
  <si>
    <t>deScign</t>
  </si>
  <si>
    <t>VP of Product</t>
  </si>
  <si>
    <t>HARMAN</t>
  </si>
  <si>
    <t>Lead Engineer</t>
  </si>
  <si>
    <t>Nagasree</t>
  </si>
  <si>
    <t>Chalasani</t>
  </si>
  <si>
    <t>WASP</t>
  </si>
  <si>
    <t>Senior Programmer</t>
  </si>
  <si>
    <t>Dahiya</t>
  </si>
  <si>
    <t>Director, Business Excellence</t>
  </si>
  <si>
    <t>Patiar</t>
  </si>
  <si>
    <t>Cigniti Technologies Pvt Ltd</t>
  </si>
  <si>
    <t>Lead - Quality Assurance Engineer</t>
  </si>
  <si>
    <t>Sairavi</t>
  </si>
  <si>
    <t>Kuchimanchi</t>
  </si>
  <si>
    <t>Sr.Analyst - Global Delivery Excellence</t>
  </si>
  <si>
    <t>PRADHEEP</t>
  </si>
  <si>
    <t>VEMULAPATI</t>
  </si>
  <si>
    <t>Oracle Business Analyst Senior</t>
  </si>
  <si>
    <t>Rohit</t>
  </si>
  <si>
    <t xml:space="preserve">Mohan Verma </t>
  </si>
  <si>
    <t>Account Quality Manager</t>
  </si>
  <si>
    <t>Vimal Kumar</t>
  </si>
  <si>
    <t>Technology QA Module Lead / Senior Test Engineer</t>
  </si>
  <si>
    <t>Jatinder Singh</t>
  </si>
  <si>
    <t>Sodhi</t>
  </si>
  <si>
    <t>Associate Architect-Automation Testing</t>
  </si>
  <si>
    <t>Bajee</t>
  </si>
  <si>
    <t>Shaik</t>
  </si>
  <si>
    <t>Broadcom Inc.</t>
  </si>
  <si>
    <t>R&amp;D Software Enginer 3</t>
  </si>
  <si>
    <t>Akunuru</t>
  </si>
  <si>
    <t>Sr Recruiter - Talent Acquicition</t>
  </si>
  <si>
    <t>Recruitment Specialist for Banking, ITIS, EIS and Entsol domains</t>
  </si>
  <si>
    <t>Tota</t>
  </si>
  <si>
    <t>Vivek Kumar</t>
  </si>
  <si>
    <t>AM - Quality Assurance</t>
  </si>
  <si>
    <t>Audireddy</t>
  </si>
  <si>
    <t>Trimble Navigation</t>
  </si>
  <si>
    <t>Sr Oracle Apps consultant</t>
  </si>
  <si>
    <t>Gurukiran</t>
  </si>
  <si>
    <t>Samaga</t>
  </si>
  <si>
    <t>Deloitte Consulting LLP</t>
  </si>
  <si>
    <t>Malu</t>
  </si>
  <si>
    <t>Septien Milan</t>
  </si>
  <si>
    <t>FocalPointe Group</t>
  </si>
  <si>
    <t>Partner &amp; Chief Technology Officer</t>
  </si>
  <si>
    <t>Tech Lead</t>
  </si>
  <si>
    <t>Bhargav</t>
  </si>
  <si>
    <t xml:space="preserve">Musunuru </t>
  </si>
  <si>
    <t>Solution Advisor - Quality &amp; Risk Management</t>
  </si>
  <si>
    <t>gogineni</t>
  </si>
  <si>
    <t>sunand</t>
  </si>
  <si>
    <t>Fujitsu Caribbean</t>
  </si>
  <si>
    <t>Enterprise Solutions Architect</t>
  </si>
  <si>
    <t xml:space="preserve">Jayita </t>
  </si>
  <si>
    <t>Continuous Improvement and Transformation Lead</t>
  </si>
  <si>
    <t>Optum (formerly Alere Wellbeing)</t>
  </si>
  <si>
    <t>Scrum Master / Product Owner</t>
  </si>
  <si>
    <t>Yedavelli</t>
  </si>
  <si>
    <t>Sr.Assosiate</t>
  </si>
  <si>
    <t>Kirankumar</t>
  </si>
  <si>
    <t>Varupalli</t>
  </si>
  <si>
    <t>Associate Architect, ICT</t>
  </si>
  <si>
    <t>Devulapally</t>
  </si>
  <si>
    <t>Verizon Data Services India</t>
  </si>
  <si>
    <t xml:space="preserve">Executive - Demand Generation </t>
  </si>
  <si>
    <t>Shalini</t>
  </si>
  <si>
    <t>Chadalavada, PMI-ACP</t>
  </si>
  <si>
    <t>Connective Broker Services</t>
  </si>
  <si>
    <t>Senior Test Analyst</t>
  </si>
  <si>
    <t>Leela Manohar</t>
  </si>
  <si>
    <t>Komma, PMP</t>
  </si>
  <si>
    <t>Indeed.com</t>
  </si>
  <si>
    <t>Quality Assurance Manager</t>
  </si>
  <si>
    <t>Steve</t>
  </si>
  <si>
    <t>Atlassian</t>
  </si>
  <si>
    <t>Head of Jira Align</t>
  </si>
  <si>
    <t>Prakash</t>
  </si>
  <si>
    <t>Chand</t>
  </si>
  <si>
    <t>Netcracker Technology</t>
  </si>
  <si>
    <t>Performance Test Specialist</t>
  </si>
  <si>
    <t>Bijal</t>
  </si>
  <si>
    <t>Hiring LSA,LBA at USA</t>
  </si>
  <si>
    <t>Prism HR Consultants</t>
  </si>
  <si>
    <t>Sr. Manager - Talent Acquisition</t>
  </si>
  <si>
    <t>Haneef</t>
  </si>
  <si>
    <t>Here</t>
  </si>
  <si>
    <t>Integr8 Software Products &amp; Services Pvt.Ltd</t>
  </si>
  <si>
    <t>Talent Acquisition Consultant</t>
  </si>
  <si>
    <t>Suno</t>
  </si>
  <si>
    <t>Chacko , LSSBB, FAHM</t>
  </si>
  <si>
    <t>Cotiviti</t>
  </si>
  <si>
    <t>Ramachandran</t>
  </si>
  <si>
    <t>G</t>
  </si>
  <si>
    <t>OASYS CYBERNETICS PRIVATE LIMITED</t>
  </si>
  <si>
    <t>QMS implementor</t>
  </si>
  <si>
    <t>Pavirala</t>
  </si>
  <si>
    <t>Business System Analyst</t>
  </si>
  <si>
    <t>Magellanic-Cloud</t>
  </si>
  <si>
    <t>Senior HR Executive</t>
  </si>
  <si>
    <t>Alluri</t>
  </si>
  <si>
    <t>ADP Private Limited</t>
  </si>
  <si>
    <t>Pawan Kumar</t>
  </si>
  <si>
    <t>Manager Lean Six Sigma -Master Black Belt</t>
  </si>
  <si>
    <t>Vootkur, CSM</t>
  </si>
  <si>
    <t>Jagdish</t>
  </si>
  <si>
    <t>Nerkar</t>
  </si>
  <si>
    <t>Avante Consultants</t>
  </si>
  <si>
    <t>Balakrishnan K</t>
  </si>
  <si>
    <t>Vikas</t>
  </si>
  <si>
    <t>Data Privacy and Use</t>
  </si>
  <si>
    <t>Manothra</t>
  </si>
  <si>
    <t>Dubbaka</t>
  </si>
  <si>
    <t>Senior Software Test Engineer</t>
  </si>
  <si>
    <t>BHARATH</t>
  </si>
  <si>
    <t>KUNAMNENI</t>
  </si>
  <si>
    <t>Pega Lead Business Architect</t>
  </si>
  <si>
    <t>Vardhan</t>
  </si>
  <si>
    <t>Business Product Owner</t>
  </si>
  <si>
    <t>Swapna</t>
  </si>
  <si>
    <t>B</t>
  </si>
  <si>
    <t>OpenText</t>
  </si>
  <si>
    <t>Ganesuni</t>
  </si>
  <si>
    <t>Functional Lead</t>
  </si>
  <si>
    <t>PR</t>
  </si>
  <si>
    <t>Self Employed / Free Agent / Contractor</t>
  </si>
  <si>
    <t>Cytel</t>
  </si>
  <si>
    <t>Lekatis</t>
  </si>
  <si>
    <t>Compliance LLC (USA), Cyber Risk GmbH (Switzerland)</t>
  </si>
  <si>
    <t>General Manager</t>
  </si>
  <si>
    <t>Siva Rama Prasad</t>
  </si>
  <si>
    <t>Kara SA, CISA, PMP, ISMS-LA, ITIL</t>
  </si>
  <si>
    <t>Brahmender Reddy</t>
  </si>
  <si>
    <t>Tallam</t>
  </si>
  <si>
    <t>Senior Principal Consultant</t>
  </si>
  <si>
    <t>Uday Kiran</t>
  </si>
  <si>
    <t>Veldandi., PhD</t>
  </si>
  <si>
    <t>Associate Clinical Development Director</t>
  </si>
  <si>
    <t>Swaraj Kumar</t>
  </si>
  <si>
    <t>Padma</t>
  </si>
  <si>
    <t>JLL India</t>
  </si>
  <si>
    <t>Carolle</t>
  </si>
  <si>
    <t>Dalley</t>
  </si>
  <si>
    <t>Sr. IT Systems Analysis Consultant</t>
  </si>
  <si>
    <t>Gundeti</t>
  </si>
  <si>
    <t>Deloitte Consulting</t>
  </si>
  <si>
    <t>Senior Solutions Specialist</t>
  </si>
  <si>
    <t>Joshi</t>
  </si>
  <si>
    <t>Pavan</t>
  </si>
  <si>
    <t>Rayaprolu</t>
  </si>
  <si>
    <t>Shaik Himad</t>
  </si>
  <si>
    <t>Ali Ahmer</t>
  </si>
  <si>
    <t>Kote</t>
  </si>
  <si>
    <t>Bipilli</t>
  </si>
  <si>
    <t>Sr. Director, Global Delivery</t>
  </si>
  <si>
    <t>Dhrubajyoti</t>
  </si>
  <si>
    <t>Mandal</t>
  </si>
  <si>
    <t>NestlÃ©</t>
  </si>
  <si>
    <t>Head of Integrated Talent Management (COC Talent) - Asia &amp; Oceania</t>
  </si>
  <si>
    <t>Mani</t>
  </si>
  <si>
    <t>Kandan</t>
  </si>
  <si>
    <t>Ritika</t>
  </si>
  <si>
    <t>Nuniyal</t>
  </si>
  <si>
    <t>Test Lead</t>
  </si>
  <si>
    <t>Kamlesh</t>
  </si>
  <si>
    <t>Nandagawali PMPÂ®</t>
  </si>
  <si>
    <t>Transamerica</t>
  </si>
  <si>
    <t>S. QA Manager</t>
  </si>
  <si>
    <t>Dokala</t>
  </si>
  <si>
    <t>Gallop Solutions</t>
  </si>
  <si>
    <t>Assistant Manger,Global Delivery</t>
  </si>
  <si>
    <t>Soujanya</t>
  </si>
  <si>
    <t>Jaggu</t>
  </si>
  <si>
    <t>HOOQ</t>
  </si>
  <si>
    <t>SDET</t>
  </si>
  <si>
    <t>Afzal Shaik,</t>
  </si>
  <si>
    <t>Prince2Â® CSMÂ® CMAP</t>
  </si>
  <si>
    <t>Kony Professional Services</t>
  </si>
  <si>
    <t>Test Automation Architect @PSECU</t>
  </si>
  <si>
    <t>Luisa</t>
  </si>
  <si>
    <t>Recalcati</t>
  </si>
  <si>
    <t>Senior Director  Library&amp;Network</t>
  </si>
  <si>
    <t>Bakshi</t>
  </si>
  <si>
    <t>Account Manager and Client Success Partner</t>
  </si>
  <si>
    <t>Jaya Bharath Reddy</t>
  </si>
  <si>
    <t>Pulugam</t>
  </si>
  <si>
    <t>eInfochips (An Arrow Company)</t>
  </si>
  <si>
    <t>Senior Engineer</t>
  </si>
  <si>
    <t>Neravati</t>
  </si>
  <si>
    <t>Hug Innovations Corp</t>
  </si>
  <si>
    <t>Syam Prasad</t>
  </si>
  <si>
    <t>Uppuluri</t>
  </si>
  <si>
    <t>Program Delivery Manager</t>
  </si>
  <si>
    <t>Charu</t>
  </si>
  <si>
    <t>Saroha</t>
  </si>
  <si>
    <t>Stefanini</t>
  </si>
  <si>
    <t>HR Professional</t>
  </si>
  <si>
    <t>Gongireddy</t>
  </si>
  <si>
    <t>Ajeet</t>
  </si>
  <si>
    <t>Sharma, Ex-Gartner</t>
  </si>
  <si>
    <t>Consultant - IT Advisory, Digital Strategy &amp; Transformation</t>
  </si>
  <si>
    <t>Shyam</t>
  </si>
  <si>
    <t>Microsoft, Global Delivery, India</t>
  </si>
  <si>
    <t>Lead, Delivery Excellence | Delivery Head</t>
  </si>
  <si>
    <t>Jiger</t>
  </si>
  <si>
    <t>Gajiwala</t>
  </si>
  <si>
    <t>Civica</t>
  </si>
  <si>
    <t>Software Development Productivity Director</t>
  </si>
  <si>
    <t>Padhiary</t>
  </si>
  <si>
    <t>HR</t>
  </si>
  <si>
    <t>sanat</t>
  </si>
  <si>
    <t>mishra</t>
  </si>
  <si>
    <t>Pasupulaty</t>
  </si>
  <si>
    <t>Project Leader</t>
  </si>
  <si>
    <t>Rapolu</t>
  </si>
  <si>
    <t>Monsanto Company</t>
  </si>
  <si>
    <t>Agile Coach/ Scrum Master (Senior Manager - COGNIZANT)</t>
  </si>
  <si>
    <t>Amitava</t>
  </si>
  <si>
    <t>Ghosh, PRINCE2 PRAC.,ITIL,6Ïƒ BB,LA,CSM</t>
  </si>
  <si>
    <t>Ericsson Global Service, India</t>
  </si>
  <si>
    <t>Sr. Program Manager</t>
  </si>
  <si>
    <t>Amithpal</t>
  </si>
  <si>
    <t>Data Intensity</t>
  </si>
  <si>
    <t>Laura</t>
  </si>
  <si>
    <t>Franco</t>
  </si>
  <si>
    <t>Elevate</t>
  </si>
  <si>
    <t>Srinivas Reddy</t>
  </si>
  <si>
    <t>Kondakalla</t>
  </si>
  <si>
    <t>Manda</t>
  </si>
  <si>
    <t>Agile Project Manager/Scrum Master/Agile Trainer/Agile Coach</t>
  </si>
  <si>
    <t>Achala</t>
  </si>
  <si>
    <t>Rondla</t>
  </si>
  <si>
    <t>Assistant Manager - Cyber Security Risk and Compliance</t>
  </si>
  <si>
    <t xml:space="preserve">Mike </t>
  </si>
  <si>
    <t>Marco</t>
  </si>
  <si>
    <t>eConsulting Groupâ„¢, Inc.</t>
  </si>
  <si>
    <t>Managing Partner</t>
  </si>
  <si>
    <t>Kondal</t>
  </si>
  <si>
    <t>Reddy Pisarla</t>
  </si>
  <si>
    <t>Simonds Homes</t>
  </si>
  <si>
    <t xml:space="preserve">Business &amp; sales consultant </t>
  </si>
  <si>
    <t>Shaily</t>
  </si>
  <si>
    <t>Jalpota</t>
  </si>
  <si>
    <t>Tarun Babu</t>
  </si>
  <si>
    <t>Kandikupa</t>
  </si>
  <si>
    <t>EiS Technologies Inc.</t>
  </si>
  <si>
    <t>Senior Solutions Engineer</t>
  </si>
  <si>
    <t>Vunnava</t>
  </si>
  <si>
    <t>SMEs and StartUps</t>
  </si>
  <si>
    <t>Independent Consultant</t>
  </si>
  <si>
    <t>Gampa</t>
  </si>
  <si>
    <t>Principal Software Engineer</t>
  </si>
  <si>
    <t>Imran Ali</t>
  </si>
  <si>
    <t>Saudi Networkers Services - SNS</t>
  </si>
  <si>
    <t>Quality Assurance Specialist</t>
  </si>
  <si>
    <t>Global lead - Quality and Training, YouTube Trust and Safety</t>
  </si>
  <si>
    <t>Operational Excellence Manager</t>
  </si>
  <si>
    <t>Oruganti</t>
  </si>
  <si>
    <t>Director IT</t>
  </si>
  <si>
    <t>Dabade</t>
  </si>
  <si>
    <t>Software Engineering Manager</t>
  </si>
  <si>
    <t xml:space="preserve">Bala </t>
  </si>
  <si>
    <t>Saladi</t>
  </si>
  <si>
    <t>Lead Data Engineer Specialist - Level 2</t>
  </si>
  <si>
    <t>Chugh</t>
  </si>
  <si>
    <t>Head Quality-  (Innovation , Quality &amp; Productivity)</t>
  </si>
  <si>
    <t>T S</t>
  </si>
  <si>
    <t>NNE Limited</t>
  </si>
  <si>
    <t>Business Controller - Finance</t>
  </si>
  <si>
    <t>Keshav</t>
  </si>
  <si>
    <t>Scrum Master- Agile Coach</t>
  </si>
  <si>
    <t>Buxton Consulting</t>
  </si>
  <si>
    <t>Sr.Recruiter</t>
  </si>
  <si>
    <t>Ruchika</t>
  </si>
  <si>
    <t>L&amp;D Support (HR Global Services)</t>
  </si>
  <si>
    <t>Satish Babu</t>
  </si>
  <si>
    <t>Madamala</t>
  </si>
  <si>
    <t>M S</t>
  </si>
  <si>
    <t>Philips - Healthcare</t>
  </si>
  <si>
    <t>Senior Business  Process Expert</t>
  </si>
  <si>
    <t>Shekar</t>
  </si>
  <si>
    <t>Joflo Industries</t>
  </si>
  <si>
    <t>System Administrator</t>
  </si>
  <si>
    <t xml:space="preserve">Krishna </t>
  </si>
  <si>
    <t>Bomma</t>
  </si>
  <si>
    <t>Scrum Master Agile coach</t>
  </si>
  <si>
    <t>Hari Krishna</t>
  </si>
  <si>
    <t>Aitha</t>
  </si>
  <si>
    <t>Team Lead Manager</t>
  </si>
  <si>
    <t>Aniruddha</t>
  </si>
  <si>
    <t>Ganguly</t>
  </si>
  <si>
    <t xml:space="preserve">Head of Operational Excellence, Lean Six Sigma Master Black Belt </t>
  </si>
  <si>
    <t>Darasi</t>
  </si>
  <si>
    <t>Pricipal Consultant</t>
  </si>
  <si>
    <t>GlobalData Plc</t>
  </si>
  <si>
    <t>Assistant Manager - Talent Acquisition</t>
  </si>
  <si>
    <t>Venkatesh</t>
  </si>
  <si>
    <t>Vice President - Global Delivery</t>
  </si>
  <si>
    <t>Chandan</t>
  </si>
  <si>
    <t>Bajaj Finserv</t>
  </si>
  <si>
    <t>National Manager</t>
  </si>
  <si>
    <t>Sharat Kumar</t>
  </si>
  <si>
    <t>Manager - Cyber Security Solutions</t>
  </si>
  <si>
    <t xml:space="preserve">Raj </t>
  </si>
  <si>
    <t>Vquest</t>
  </si>
  <si>
    <t>vQuest Technologies</t>
  </si>
  <si>
    <t>Manager Recruiting and Finance</t>
  </si>
  <si>
    <t>Rai</t>
  </si>
  <si>
    <t>CalAmp</t>
  </si>
  <si>
    <t>Sr. Database Engineer</t>
  </si>
  <si>
    <t>Nagineni</t>
  </si>
  <si>
    <t>Technior</t>
  </si>
  <si>
    <t>Pavuluru</t>
  </si>
  <si>
    <t>EIS Technologies</t>
  </si>
  <si>
    <t>Director, Global Delivery</t>
  </si>
  <si>
    <t>Bhumesh</t>
  </si>
  <si>
    <t>Edge Verve - Infosys</t>
  </si>
  <si>
    <t>Dulam</t>
  </si>
  <si>
    <t>CrossBorders EiE Services Pvt. Ltd.,</t>
  </si>
  <si>
    <t>Director and COO</t>
  </si>
  <si>
    <t>Harmeet</t>
  </si>
  <si>
    <t>Solution Manager/Architect (Big Data)</t>
  </si>
  <si>
    <t>Hadoop</t>
  </si>
  <si>
    <t>NASA - National Aeronautics and Space Administration</t>
  </si>
  <si>
    <t>Praveen kumar</t>
  </si>
  <si>
    <t>Devisetti PMI-ACP,SA,CSP,CSM,DU-CDP</t>
  </si>
  <si>
    <t>Senior Manager Engineering</t>
  </si>
  <si>
    <t>Sreenivas</t>
  </si>
  <si>
    <t>Senior Test Lead</t>
  </si>
  <si>
    <t>Kamal  Raj</t>
  </si>
  <si>
    <t>Pardasani</t>
  </si>
  <si>
    <t>Department of Mathematics, Bioinformatics &amp; Computer Applications,MANIT, Bhopal</t>
  </si>
  <si>
    <t>priyanka</t>
  </si>
  <si>
    <t>Korgaonkar</t>
  </si>
  <si>
    <t>Globetrot Resource Management Private Limited</t>
  </si>
  <si>
    <t>Immigration Specialist</t>
  </si>
  <si>
    <t>Randhir Kumar</t>
  </si>
  <si>
    <t>, CSM, SPC4, SA, SSM, Agile Coach</t>
  </si>
  <si>
    <t>Xebia</t>
  </si>
  <si>
    <t>Agile Transformation Consultant</t>
  </si>
  <si>
    <t>Rajanala</t>
  </si>
  <si>
    <t>Sunita</t>
  </si>
  <si>
    <t>Premraj</t>
  </si>
  <si>
    <t>Asteride Consulting</t>
  </si>
  <si>
    <t>Founder &amp; Head - Human Capital Services</t>
  </si>
  <si>
    <t>Avizeet</t>
  </si>
  <si>
    <t>Jayanth Kumar</t>
  </si>
  <si>
    <t>Gundlapelli</t>
  </si>
  <si>
    <t>RAMU</t>
  </si>
  <si>
    <t>POTTABATHINI</t>
  </si>
  <si>
    <t>Design Group Staffing</t>
  </si>
  <si>
    <t>Maintainance Scheduler</t>
  </si>
  <si>
    <t>Vijaya</t>
  </si>
  <si>
    <t>Koleti</t>
  </si>
  <si>
    <t>Brillio</t>
  </si>
  <si>
    <t>DevOps Technical Lead</t>
  </si>
  <si>
    <t>Sridevi</t>
  </si>
  <si>
    <t>Atkuri</t>
  </si>
  <si>
    <t>West Unified Communications Services</t>
  </si>
  <si>
    <t>Sr Software QA Analyst</t>
  </si>
  <si>
    <t>Inder Pal Singh</t>
  </si>
  <si>
    <t>,  PMPÂ®, PSM, Safe Agilist, AIX</t>
  </si>
  <si>
    <t>MULTILEARNING Group</t>
  </si>
  <si>
    <t>IT &amp; Cloud Manager (Heading Cloud, Devops, Opensource)</t>
  </si>
  <si>
    <t>Sivan</t>
  </si>
  <si>
    <t>Associate Software Engineering Manager</t>
  </si>
  <si>
    <t>Chalourmi</t>
  </si>
  <si>
    <t>Yerram</t>
  </si>
  <si>
    <t>Black Belt</t>
  </si>
  <si>
    <t>Jaya Raghuram</t>
  </si>
  <si>
    <t>Krovvidy</t>
  </si>
  <si>
    <t>Executive Vice President</t>
  </si>
  <si>
    <t>Keste</t>
  </si>
  <si>
    <t>Manager CPQ</t>
  </si>
  <si>
    <t>Pantomath Advisory Services Group</t>
  </si>
  <si>
    <t>Afroze</t>
  </si>
  <si>
    <t>Ali</t>
  </si>
  <si>
    <t>saichandra</t>
  </si>
  <si>
    <t>sakilam</t>
  </si>
  <si>
    <t>telekha networking technologies</t>
  </si>
  <si>
    <t>Android Developer</t>
  </si>
  <si>
    <t>Shashidhar</t>
  </si>
  <si>
    <t>Tangirala</t>
  </si>
  <si>
    <t>Manager - Software Engineering</t>
  </si>
  <si>
    <t>Trendz Process Consulting Pvt Ltd</t>
  </si>
  <si>
    <t>Parihar</t>
  </si>
  <si>
    <t>Redpine Signals</t>
  </si>
  <si>
    <t>Asst. Program Manager</t>
  </si>
  <si>
    <t>Manjunath</t>
  </si>
  <si>
    <t>Kamarthi</t>
  </si>
  <si>
    <t>Sr Associate</t>
  </si>
  <si>
    <t>Mandava</t>
  </si>
  <si>
    <t>Assoc Software Engineering Manager</t>
  </si>
  <si>
    <t>SURAJ SINGH</t>
  </si>
  <si>
    <t>CHANDEL</t>
  </si>
  <si>
    <t>Project Delivery Manager</t>
  </si>
  <si>
    <t>Sreeram</t>
  </si>
  <si>
    <t>Process Consultant</t>
  </si>
  <si>
    <t>Aditya</t>
  </si>
  <si>
    <t>Cyient</t>
  </si>
  <si>
    <t>Marketing Technologist</t>
  </si>
  <si>
    <t>Sajan Goud</t>
  </si>
  <si>
    <t>Lingala</t>
  </si>
  <si>
    <t>University of Iowa</t>
  </si>
  <si>
    <t>Assistant Professor of Biomedical Engineering, and Radiology</t>
  </si>
  <si>
    <t>Gajendra</t>
  </si>
  <si>
    <t>Nayak, PMPÂ®</t>
  </si>
  <si>
    <t>UHG (Optum Technology)</t>
  </si>
  <si>
    <t>Phanindhar Reddy</t>
  </si>
  <si>
    <t>Jagganna ITIL Certified</t>
  </si>
  <si>
    <t>Apolis</t>
  </si>
  <si>
    <t>Computer system Architect</t>
  </si>
  <si>
    <t>Guardian Life</t>
  </si>
  <si>
    <t xml:space="preserve">Assistant General Manager - Operational Excellence </t>
  </si>
  <si>
    <t>Kuldeep</t>
  </si>
  <si>
    <t>Bhan(RPA,UI Path,PMP, ITIL V3 Certified)</t>
  </si>
  <si>
    <t>BROADRIDGE FINANCIAL SOLUTIONS LIMITED</t>
  </si>
  <si>
    <t>Mustafa</t>
  </si>
  <si>
    <t>Anis</t>
  </si>
  <si>
    <t>International Turnkey Systems - ITS</t>
  </si>
  <si>
    <t>Senior Specialist - Risk &amp; Quality Assurance</t>
  </si>
  <si>
    <t>Grandhi</t>
  </si>
  <si>
    <t>FiSec Global Inc</t>
  </si>
  <si>
    <t>Zubin</t>
  </si>
  <si>
    <t>Big Data Developer</t>
  </si>
  <si>
    <t>Yanamala</t>
  </si>
  <si>
    <t>Neelam</t>
  </si>
  <si>
    <t xml:space="preserve">Staffing Partner </t>
  </si>
  <si>
    <t>Sarada Prasanna</t>
  </si>
  <si>
    <t>Satapathy</t>
  </si>
  <si>
    <t>Senior Manager - Technical Enablement &amp; University Program</t>
  </si>
  <si>
    <t>Ness Technologies |</t>
  </si>
  <si>
    <t>Vanaja</t>
  </si>
  <si>
    <t>Chamala</t>
  </si>
  <si>
    <t>Tiruveedula</t>
  </si>
  <si>
    <t>Cambio Consulting Pvt Ltd</t>
  </si>
  <si>
    <t>Principal Staffing Specialist / Sr. Manager Recruitments</t>
  </si>
  <si>
    <t>Neha</t>
  </si>
  <si>
    <t>QA Lead</t>
  </si>
  <si>
    <t>Rejith</t>
  </si>
  <si>
    <t>V.C</t>
  </si>
  <si>
    <t>DGM - PEX</t>
  </si>
  <si>
    <t>Satish Kumar</t>
  </si>
  <si>
    <t>Tumu</t>
  </si>
  <si>
    <t>Concept Quality Assurance Labs Pvt. Ltd</t>
  </si>
  <si>
    <t>CEO and Principal Consultant</t>
  </si>
  <si>
    <t>Brajesh</t>
  </si>
  <si>
    <t>Pardha Saradhi V</t>
  </si>
  <si>
    <t>Chittineni</t>
  </si>
  <si>
    <t>Mutex</t>
  </si>
  <si>
    <t>Shikha</t>
  </si>
  <si>
    <t>Biswas</t>
  </si>
  <si>
    <t>accelQ</t>
  </si>
  <si>
    <t>Vice President Sales</t>
  </si>
  <si>
    <t>Chandrakala Mamidala</t>
  </si>
  <si>
    <t>PMP,CSQA, ITIL V3 Foundation Certified</t>
  </si>
  <si>
    <t>Lead Process Excellence</t>
  </si>
  <si>
    <t>OSMANY</t>
  </si>
  <si>
    <t>A H</t>
  </si>
  <si>
    <t>Azfas Quality Consultants</t>
  </si>
  <si>
    <t>Chief Consultant</t>
  </si>
  <si>
    <t>Amit Kapoor</t>
  </si>
  <si>
    <t>Head Content Social Marketing Cigniti</t>
  </si>
  <si>
    <t>Associate Director, Content Marketing</t>
  </si>
  <si>
    <t>Vasantt</t>
  </si>
  <si>
    <t>Paatil</t>
  </si>
  <si>
    <t>Associate Manager - Client Services</t>
  </si>
  <si>
    <t>Shalu</t>
  </si>
  <si>
    <t>Royal Bank of Scotland Business</t>
  </si>
  <si>
    <t>Shahabaz</t>
  </si>
  <si>
    <t>Director &amp; Service Delivery Leader - Technology - Prior Authorization Services &amp; Infrastructure Grou</t>
  </si>
  <si>
    <t>Eswar Reddy</t>
  </si>
  <si>
    <t>Florida Blue</t>
  </si>
  <si>
    <t>Gangula</t>
  </si>
  <si>
    <t>Walmart eCommerce</t>
  </si>
  <si>
    <t>Staff. Software Engineer</t>
  </si>
  <si>
    <t>Nekuri</t>
  </si>
  <si>
    <t>Senior Development Engineer</t>
  </si>
  <si>
    <t>Baradi</t>
  </si>
  <si>
    <t>Mirafra Technologies</t>
  </si>
  <si>
    <t>Devaraju</t>
  </si>
  <si>
    <t>Namala</t>
  </si>
  <si>
    <t>IMImobile</t>
  </si>
  <si>
    <t>Manager - Quality Assurance</t>
  </si>
  <si>
    <t>Anmol</t>
  </si>
  <si>
    <t>Avensys Consulting Pte Ltd</t>
  </si>
  <si>
    <t xml:space="preserve">360Â° Recruitment Consultant </t>
  </si>
  <si>
    <t>Amrita</t>
  </si>
  <si>
    <t>Khatore Singh</t>
  </si>
  <si>
    <t>Zensar Technologies</t>
  </si>
  <si>
    <t>Manager - Talent Acquisition</t>
  </si>
  <si>
    <t>Siva Kumar</t>
  </si>
  <si>
    <t>Alahari</t>
  </si>
  <si>
    <t>Cigniti Technologies Limited</t>
  </si>
  <si>
    <t>Manager - Process</t>
  </si>
  <si>
    <t>Founding Partner</t>
  </si>
  <si>
    <t>The Home Depot</t>
  </si>
  <si>
    <t>Principal Software Engineer/Architect (ML &amp; Big Data)</t>
  </si>
  <si>
    <t xml:space="preserve">K </t>
  </si>
  <si>
    <t>Synapsis Inc</t>
  </si>
  <si>
    <t>Head Of Operations</t>
  </si>
  <si>
    <t>haran</t>
  </si>
  <si>
    <t>Automotive</t>
  </si>
  <si>
    <t>Quality Assurance Lead- Product Engineering</t>
  </si>
  <si>
    <t>Kapil</t>
  </si>
  <si>
    <t>Mago, PMPÂ®</t>
  </si>
  <si>
    <t>Director Of Operations</t>
  </si>
  <si>
    <t>Rajat</t>
  </si>
  <si>
    <t>Sadana</t>
  </si>
  <si>
    <t>e-GMAT</t>
  </si>
  <si>
    <t>Kalyan Kumar Ghattu</t>
  </si>
  <si>
    <t>[SAFe Agilist, CSM]</t>
  </si>
  <si>
    <t>Senior Manager - QA</t>
  </si>
  <si>
    <t>Goli</t>
  </si>
  <si>
    <t xml:space="preserve">Senior Project Manager - Engineering </t>
  </si>
  <si>
    <t>Panuganti</t>
  </si>
  <si>
    <t>CheckMark, Inc.</t>
  </si>
  <si>
    <t>Bharadwaj</t>
  </si>
  <si>
    <t>Schneider</t>
  </si>
  <si>
    <t>Quality Assurance</t>
  </si>
  <si>
    <t>Director Delivery</t>
  </si>
  <si>
    <t xml:space="preserve">Swapnadip </t>
  </si>
  <si>
    <t>Harikrishna</t>
  </si>
  <si>
    <t>Kotha</t>
  </si>
  <si>
    <t>EdGE Networks Pvt. Ltd.</t>
  </si>
  <si>
    <t>Surinder</t>
  </si>
  <si>
    <t>Senior Director Re-engineering Consulting &amp; Robotics Process Automation</t>
  </si>
  <si>
    <t>Raghavender</t>
  </si>
  <si>
    <t>J</t>
  </si>
  <si>
    <t>Khosla</t>
  </si>
  <si>
    <t>Optum Global Solutions (India) Private Limited, UnitedHealth Group.</t>
  </si>
  <si>
    <t>SriSudha</t>
  </si>
  <si>
    <t>Kanda</t>
  </si>
  <si>
    <t>Vironova AB</t>
  </si>
  <si>
    <t>Software Tester</t>
  </si>
  <si>
    <t>sourav</t>
  </si>
  <si>
    <t>Associate Engineering Manager</t>
  </si>
  <si>
    <t>Srikrishna Joshi</t>
  </si>
  <si>
    <t>CSP, SPC4</t>
  </si>
  <si>
    <t>Director Of Engineering</t>
  </si>
  <si>
    <t>Abhinav Singh</t>
  </si>
  <si>
    <t>Payel</t>
  </si>
  <si>
    <t>Dallas Fort Worth International Airport (DFW)</t>
  </si>
  <si>
    <t>Sr. Quality Assurance Analyst</t>
  </si>
  <si>
    <t>Rakhi</t>
  </si>
  <si>
    <t>Raveendran</t>
  </si>
  <si>
    <t>OTSi - Object Technology Solutions India Pvt. Ltd</t>
  </si>
  <si>
    <t>Specialist HR Business Partner</t>
  </si>
  <si>
    <t>Wajhi</t>
  </si>
  <si>
    <t>VP Technology,  Pharmacy Care Services (OPTUMRx) and Agile leader at Optum Global Solutions</t>
  </si>
  <si>
    <t>Kuna</t>
  </si>
  <si>
    <t>Optum Technology Solutions</t>
  </si>
  <si>
    <t>Senior Manager - Business Intelligence</t>
  </si>
  <si>
    <t>Tarakesh</t>
  </si>
  <si>
    <t>Tummapudi</t>
  </si>
  <si>
    <t>Senior Director &amp; Group Head - Core Technology &amp; AMS Delivery</t>
  </si>
  <si>
    <t>Pranam</t>
  </si>
  <si>
    <t>Tuljapurkar</t>
  </si>
  <si>
    <t>Sr. Technical Project Manager</t>
  </si>
  <si>
    <t>Kamal</t>
  </si>
  <si>
    <t>Makhija</t>
  </si>
  <si>
    <t>Manager  - Business Excellence</t>
  </si>
  <si>
    <t>Yamini</t>
  </si>
  <si>
    <t>Kanaparthi</t>
  </si>
  <si>
    <t>Test Advisory Consultant</t>
  </si>
  <si>
    <t>Akula</t>
  </si>
  <si>
    <t>HealthPlan Services</t>
  </si>
  <si>
    <t>Director - Information Technology</t>
  </si>
  <si>
    <t>Vipin</t>
  </si>
  <si>
    <t>PEX Lead - Insurance</t>
  </si>
  <si>
    <t>Hazari</t>
  </si>
  <si>
    <t>Fidelity Investments</t>
  </si>
  <si>
    <t>Sr Java and Search Consultant</t>
  </si>
  <si>
    <t>ALOK</t>
  </si>
  <si>
    <t>KUMAR</t>
  </si>
  <si>
    <t>Anshika</t>
  </si>
  <si>
    <t>UHG</t>
  </si>
  <si>
    <t>Senior Quality Manager - Six Sigma Consultant IT</t>
  </si>
  <si>
    <t>Saradhi</t>
  </si>
  <si>
    <t>Bhaskarabhatla</t>
  </si>
  <si>
    <t>Bombardier Transportation</t>
  </si>
  <si>
    <t>Requirements Management Engineer</t>
  </si>
  <si>
    <t>JOhn</t>
  </si>
  <si>
    <t>Dinakar</t>
  </si>
  <si>
    <t>Kurella</t>
  </si>
  <si>
    <t>SAP</t>
  </si>
  <si>
    <t>Developer</t>
  </si>
  <si>
    <t>Prathibha</t>
  </si>
  <si>
    <t>Intelligrated</t>
  </si>
  <si>
    <t>Analyst Programmer Lead</t>
  </si>
  <si>
    <t>Sayi</t>
  </si>
  <si>
    <t>Parvatam</t>
  </si>
  <si>
    <t>BCS Technology International Pty Ltd</t>
  </si>
  <si>
    <t>Agile Coach / Agile Project Manager</t>
  </si>
  <si>
    <t>Paras</t>
  </si>
  <si>
    <t>Sood</t>
  </si>
  <si>
    <t>Mercer</t>
  </si>
  <si>
    <t>Group Manager (AVP) Quality Assurance &amp; IT Operations - Global Technology India</t>
  </si>
  <si>
    <t>Salma</t>
  </si>
  <si>
    <t>Sultana</t>
  </si>
  <si>
    <t>DiCentral Canada</t>
  </si>
  <si>
    <t>Abhinay</t>
  </si>
  <si>
    <t>Kancharla</t>
  </si>
  <si>
    <t>UnitedHealth Group /Optum</t>
  </si>
  <si>
    <t>Project Lead - Scrum Master</t>
  </si>
  <si>
    <t>Pronil</t>
  </si>
  <si>
    <t>Sengupta</t>
  </si>
  <si>
    <t>Quality Manager</t>
  </si>
  <si>
    <t>Dhanda</t>
  </si>
  <si>
    <t>nThrive</t>
  </si>
  <si>
    <t>AGM - Technology Services</t>
  </si>
  <si>
    <t>Harsha</t>
  </si>
  <si>
    <t>Thappari</t>
  </si>
  <si>
    <t>Solutions Architect Big Data &amp; AA</t>
  </si>
  <si>
    <t>Vittal</t>
  </si>
  <si>
    <t>Kovuru</t>
  </si>
  <si>
    <t>Prachi</t>
  </si>
  <si>
    <t>Phadke</t>
  </si>
  <si>
    <t>Vasudeva Sharma</t>
  </si>
  <si>
    <t>Mallavajhala</t>
  </si>
  <si>
    <t>Novartis Health Care Private Limited</t>
  </si>
  <si>
    <t>Security &amp; IT Compliance Assessor, 3rd Party Risk Management</t>
  </si>
  <si>
    <t>Shaice</t>
  </si>
  <si>
    <t>Scaria, PMP</t>
  </si>
  <si>
    <t>Associate Director - Global Project Management  at UnitedHealth Group</t>
  </si>
  <si>
    <t>Ranjeet</t>
  </si>
  <si>
    <t>General Manager - Business Excellence</t>
  </si>
  <si>
    <t>Harsh</t>
  </si>
  <si>
    <t>Mindvalley</t>
  </si>
  <si>
    <t>Lead Android Developer</t>
  </si>
  <si>
    <t>HarshaVardhan</t>
  </si>
  <si>
    <t>Jagannadham</t>
  </si>
  <si>
    <t>NOVARTIS HEALTHCARE PRIVATE LIMITED</t>
  </si>
  <si>
    <t>Senior Manager , Development IT - IGM</t>
  </si>
  <si>
    <t>Vaishnavi</t>
  </si>
  <si>
    <t>Vedantham</t>
  </si>
  <si>
    <t>Oracle in Financial Services</t>
  </si>
  <si>
    <t>Application Developer</t>
  </si>
  <si>
    <t>Meruva</t>
  </si>
  <si>
    <t>Bindhu</t>
  </si>
  <si>
    <t>Grama</t>
  </si>
  <si>
    <t>Deloitte Touche Tohmatsu LLC</t>
  </si>
  <si>
    <t>Pujara-PMP, CSPO</t>
  </si>
  <si>
    <t>United Health Group</t>
  </si>
  <si>
    <t>Project Lead PMP/ ITIL-v3, AHM-250</t>
  </si>
  <si>
    <t>Pipersania</t>
  </si>
  <si>
    <t>SoftServ</t>
  </si>
  <si>
    <t>CEO and Founder</t>
  </si>
  <si>
    <t>Vullanki</t>
  </si>
  <si>
    <t>University of Sunderland in London</t>
  </si>
  <si>
    <t>Assistant Head of Student Recruitment</t>
  </si>
  <si>
    <t>Digital</t>
  </si>
  <si>
    <t>India</t>
  </si>
  <si>
    <t>Digital India</t>
  </si>
  <si>
    <t>Administrator</t>
  </si>
  <si>
    <t>Tope</t>
  </si>
  <si>
    <t>Zensar Technologies Ltd</t>
  </si>
  <si>
    <t>Head - Process and Metrics Excellence (SEPG)</t>
  </si>
  <si>
    <t>Sheikha</t>
  </si>
  <si>
    <t>Khanna</t>
  </si>
  <si>
    <t>Rawat</t>
  </si>
  <si>
    <t>Manager Quality</t>
  </si>
  <si>
    <t>Atluri</t>
  </si>
  <si>
    <t>Kanvic</t>
  </si>
  <si>
    <t>Goibibo</t>
  </si>
  <si>
    <t>Director -  Process Excellence (Customer Experience)</t>
  </si>
  <si>
    <t>Girish M</t>
  </si>
  <si>
    <t>Sharma, PMPÂ®, SAFe</t>
  </si>
  <si>
    <t>Express Scripts</t>
  </si>
  <si>
    <t>Sr. Automation Architect</t>
  </si>
  <si>
    <t>Madhulata</t>
  </si>
  <si>
    <t>Baid</t>
  </si>
  <si>
    <t>IT System Analyst Associate Lead - Optum Global Solutions</t>
  </si>
  <si>
    <t>Sarfaraz</t>
  </si>
  <si>
    <t>Hexaware Technologies</t>
  </si>
  <si>
    <t>Shan</t>
  </si>
  <si>
    <t>Konduru</t>
  </si>
  <si>
    <t>Senior Director - Service Delivery</t>
  </si>
  <si>
    <t>Ezidebit</t>
  </si>
  <si>
    <t>Analyst and Programmer</t>
  </si>
  <si>
    <t>Munisagar</t>
  </si>
  <si>
    <t>Vukku</t>
  </si>
  <si>
    <t>Eurofins IT Solutions India Pvt. Ltd</t>
  </si>
  <si>
    <t>Senior Process Manager</t>
  </si>
  <si>
    <t>Gundu</t>
  </si>
  <si>
    <t>AVP - Advisory and Transformation Services (ATS) &amp; Process Management Group (PMG)</t>
  </si>
  <si>
    <t>Karthekeyan</t>
  </si>
  <si>
    <t>T</t>
  </si>
  <si>
    <t>Renault Nissan Technology and Business Centre India</t>
  </si>
  <si>
    <t>Sr. Manager</t>
  </si>
  <si>
    <t>Rashmi</t>
  </si>
  <si>
    <t xml:space="preserve">Aggarwal </t>
  </si>
  <si>
    <t>Emaratech FZ LLC, Dubai</t>
  </si>
  <si>
    <t>Devraj</t>
  </si>
  <si>
    <t>Saha, ASQ SSBB</t>
  </si>
  <si>
    <t>Assistant Manager - Quality</t>
  </si>
  <si>
    <t>Nayana</t>
  </si>
  <si>
    <t>Technical Publications Specialist</t>
  </si>
  <si>
    <t>Krishna Sastry</t>
  </si>
  <si>
    <t>Valiveti</t>
  </si>
  <si>
    <t>Cyient Limited</t>
  </si>
  <si>
    <t>Deputy General Manager Quality</t>
  </si>
  <si>
    <t>Mitali</t>
  </si>
  <si>
    <t>Offer Quality Manager - Software (Global)</t>
  </si>
  <si>
    <t>Deiveka Vijay</t>
  </si>
  <si>
    <t>Jayabalan</t>
  </si>
  <si>
    <t>Access Healthcare Services</t>
  </si>
  <si>
    <t xml:space="preserve">Delivery Manager- Business Excellence </t>
  </si>
  <si>
    <t>Nukala</t>
  </si>
  <si>
    <t>IPG Mediabrands</t>
  </si>
  <si>
    <t>Director Of Software Development</t>
  </si>
  <si>
    <t>Yerra</t>
  </si>
  <si>
    <t>Cashify</t>
  </si>
  <si>
    <t>Business Process Analyst</t>
  </si>
  <si>
    <t>Aneet</t>
  </si>
  <si>
    <t>Kaur</t>
  </si>
  <si>
    <t>Encore Capital Group</t>
  </si>
  <si>
    <t>Senior Business System Analyst</t>
  </si>
  <si>
    <t>Anupama</t>
  </si>
  <si>
    <t>Infinex Financial Group</t>
  </si>
  <si>
    <t>Senior Application Developer</t>
  </si>
  <si>
    <t>Priya</t>
  </si>
  <si>
    <t>TSquare HR Consultancy</t>
  </si>
  <si>
    <t>HR Recruiter</t>
  </si>
  <si>
    <t>Mahendra</t>
  </si>
  <si>
    <t>Senior SAP Advanced Business Application Consultant</t>
  </si>
  <si>
    <t>Sai Naga Swathi</t>
  </si>
  <si>
    <t>Chittajallu</t>
  </si>
  <si>
    <t>Spandana</t>
  </si>
  <si>
    <t>New Era India</t>
  </si>
  <si>
    <t>Murathoti</t>
  </si>
  <si>
    <t>Koduru</t>
  </si>
  <si>
    <t>oracleappstechnical.com</t>
  </si>
  <si>
    <t>Oracle Apps Techno Functional and Fusion Trainer</t>
  </si>
  <si>
    <t>Hangire</t>
  </si>
  <si>
    <t>Advanced Software Engineer</t>
  </si>
  <si>
    <t>Prassaad</t>
  </si>
  <si>
    <t>Gollapally</t>
  </si>
  <si>
    <t>Accelerated Innovators, Inc.</t>
  </si>
  <si>
    <t>Director -   Recruiting and Sales</t>
  </si>
  <si>
    <t>Sudipta</t>
  </si>
  <si>
    <t>Swargiary</t>
  </si>
  <si>
    <t>Mak Technologies LLC</t>
  </si>
  <si>
    <t>Sr. Resource associate</t>
  </si>
  <si>
    <t>Technology Manager - QA</t>
  </si>
  <si>
    <t>Sathya</t>
  </si>
  <si>
    <t>Narayana.M</t>
  </si>
  <si>
    <t>ER Consulting</t>
  </si>
  <si>
    <t>Senior Resource Manager</t>
  </si>
  <si>
    <t>Rukmini</t>
  </si>
  <si>
    <t>Rakesh Kumar</t>
  </si>
  <si>
    <t>CareerXperts Consulting</t>
  </si>
  <si>
    <t>Lead Recruitment Analyst</t>
  </si>
  <si>
    <t>Saranraj</t>
  </si>
  <si>
    <t>Chintapalli</t>
  </si>
  <si>
    <t>Vignan's Institute of Information Technology, Duvvada, Visakhapatnam</t>
  </si>
  <si>
    <t>Associate Professor &amp; Head of Vibrations &amp; Acoustics Group</t>
  </si>
  <si>
    <t>Jannu  PMP</t>
  </si>
  <si>
    <t>Deputy General Manager - Transitions</t>
  </si>
  <si>
    <t>Kuncham</t>
  </si>
  <si>
    <t>Flipkart</t>
  </si>
  <si>
    <t>Lead - TA Partner</t>
  </si>
  <si>
    <t>Lehrman</t>
  </si>
  <si>
    <t>Mitchell Martin Inc.</t>
  </si>
  <si>
    <t>Senior Technical Recruiter, Capital Markets and Financial Services</t>
  </si>
  <si>
    <t>Sailesh</t>
  </si>
  <si>
    <t>Enterprise Solutions Architect / Data Science &amp; OR Consultant</t>
  </si>
  <si>
    <t>Mukund</t>
  </si>
  <si>
    <t>ABRAJ DESERT UNIQUE PROJECT(ASSO)</t>
  </si>
  <si>
    <t>Fabrication Manager</t>
  </si>
  <si>
    <t>Thogati</t>
  </si>
  <si>
    <t>Alstom</t>
  </si>
  <si>
    <t>Bogie system Engineer</t>
  </si>
  <si>
    <t>T L N</t>
  </si>
  <si>
    <t>Murthy</t>
  </si>
  <si>
    <t>MaxisIT Inc.</t>
  </si>
  <si>
    <t>Associate Manager - HR</t>
  </si>
  <si>
    <t>SHAR</t>
  </si>
  <si>
    <t>SHAR technologies Private Limited</t>
  </si>
  <si>
    <t>Recruitment Manager</t>
  </si>
  <si>
    <t>Sethi</t>
  </si>
  <si>
    <t>Delivery Group Manager (Principal)</t>
  </si>
  <si>
    <t>Parma</t>
  </si>
  <si>
    <t>American Airlines</t>
  </si>
  <si>
    <t>Sr Java Developer</t>
  </si>
  <si>
    <t>Thylur</t>
  </si>
  <si>
    <t>Senior Manager - Catalog</t>
  </si>
  <si>
    <t>Nulu</t>
  </si>
  <si>
    <t>Lean Six Sigma Deployment Lead</t>
  </si>
  <si>
    <t>Ashraf</t>
  </si>
  <si>
    <t>Kazi</t>
  </si>
  <si>
    <t>Capita IT and Networks</t>
  </si>
  <si>
    <t>Associate Manager Human Resources</t>
  </si>
  <si>
    <t>Lohit</t>
  </si>
  <si>
    <t>NiYO (Niyo Solutions Inc.)</t>
  </si>
  <si>
    <t xml:space="preserve">Sr key Account Manager </t>
  </si>
  <si>
    <t xml:space="preserve">Choudhary </t>
  </si>
  <si>
    <t>Enterprise Solutions Inc.</t>
  </si>
  <si>
    <t>Justin</t>
  </si>
  <si>
    <t>Evans</t>
  </si>
  <si>
    <t>Exo</t>
  </si>
  <si>
    <t>Senior Account Manager -  Utililty, Commercial and Sports Lighting Division</t>
  </si>
  <si>
    <t>sri</t>
  </si>
  <si>
    <t>vani</t>
  </si>
  <si>
    <t>eFortune LLC</t>
  </si>
  <si>
    <t>Staffing Specialist at eFortune LLC</t>
  </si>
  <si>
    <t>Angela</t>
  </si>
  <si>
    <t>Mallow</t>
  </si>
  <si>
    <t>Softworld</t>
  </si>
  <si>
    <t>Anlight Consulting Services Private Limited</t>
  </si>
  <si>
    <t>Maneesh</t>
  </si>
  <si>
    <t>Chowdary</t>
  </si>
  <si>
    <t>Nokia</t>
  </si>
  <si>
    <t>Solutions Architect</t>
  </si>
  <si>
    <t>Narayandas</t>
  </si>
  <si>
    <t>Model N</t>
  </si>
  <si>
    <t>Principal Recruiter</t>
  </si>
  <si>
    <t>Sushma</t>
  </si>
  <si>
    <t>The Adecco Group</t>
  </si>
  <si>
    <t>Project Manager - Strategic Initiatives</t>
  </si>
  <si>
    <t>Ramyasri</t>
  </si>
  <si>
    <t>TeamLease Services Limited</t>
  </si>
  <si>
    <t>Team Lead - Talent Acquisition</t>
  </si>
  <si>
    <t>K Sree,Scrum MasterÂ®</t>
  </si>
  <si>
    <t>IRCAÂ®LEADAUDITOR  BCMS ISMS ,CISO SECURITY OFFICER</t>
  </si>
  <si>
    <t xml:space="preserve">SHRIUMASHI CONSULTING BELGIUM </t>
  </si>
  <si>
    <t>CEO &amp; General Partner - Independent Process Coach/Security Officer</t>
  </si>
  <si>
    <t>mehul</t>
  </si>
  <si>
    <t>eTeam</t>
  </si>
  <si>
    <t>Recruiting Lead</t>
  </si>
  <si>
    <t>Val</t>
  </si>
  <si>
    <t>Baldwin</t>
  </si>
  <si>
    <t>Reconnect-with-Nature.com</t>
  </si>
  <si>
    <t>Najeth</t>
  </si>
  <si>
    <t>GEUFFROY</t>
  </si>
  <si>
    <t>Amadeus</t>
  </si>
  <si>
    <t>Talent Acquisition &amp; Schools Relations Responsible</t>
  </si>
  <si>
    <t>Bernie</t>
  </si>
  <si>
    <t>Laporte</t>
  </si>
  <si>
    <t>Jobot</t>
  </si>
  <si>
    <t>Senior Recruiter</t>
  </si>
  <si>
    <t>Tanweer</t>
  </si>
  <si>
    <t>Ansari</t>
  </si>
  <si>
    <t>Capgemini Invent</t>
  </si>
  <si>
    <t>Manager-Recruitment</t>
  </si>
  <si>
    <t>ecorp</t>
  </si>
  <si>
    <t>trainings</t>
  </si>
  <si>
    <t>ecorp trainings</t>
  </si>
  <si>
    <t>Prabhakar Reddy</t>
  </si>
  <si>
    <t>Dasari</t>
  </si>
  <si>
    <t>Techwave.</t>
  </si>
  <si>
    <t>Shalva</t>
  </si>
  <si>
    <t>Vinod Kumar</t>
  </si>
  <si>
    <t>Rupa</t>
  </si>
  <si>
    <t>Bridge Management Services</t>
  </si>
  <si>
    <t>Recruiting &amp; Sourcing Strategy Consultant</t>
  </si>
  <si>
    <t>Shrishail</t>
  </si>
  <si>
    <t>Manager - Recruitment</t>
  </si>
  <si>
    <t>Pradeep Kumar</t>
  </si>
  <si>
    <t>Peddi</t>
  </si>
  <si>
    <t>Invesco Ltd.</t>
  </si>
  <si>
    <t>Talent Acquisition Manager (India)</t>
  </si>
  <si>
    <t>Norman</t>
  </si>
  <si>
    <t>Gennaro</t>
  </si>
  <si>
    <t>Zendesk</t>
  </si>
  <si>
    <t>Senior Vice President, Worldwide Sales</t>
  </si>
  <si>
    <t>chaittanya</t>
  </si>
  <si>
    <t>p</t>
  </si>
  <si>
    <t>recruitments</t>
  </si>
  <si>
    <t>Actively looking for Job change</t>
  </si>
  <si>
    <t>Rama Krishna</t>
  </si>
  <si>
    <t>Bikki</t>
  </si>
  <si>
    <t>Som - Looking for</t>
  </si>
  <si>
    <t>osttalent</t>
  </si>
  <si>
    <t>Jagadeeshwar Reddy</t>
  </si>
  <si>
    <t>Decipher Software Solutions</t>
  </si>
  <si>
    <t xml:space="preserve">Sr. Associate Consultant - ERP Division </t>
  </si>
  <si>
    <t>Crescens Inc.</t>
  </si>
  <si>
    <t>Vice President - Business Development</t>
  </si>
  <si>
    <t>Kranthi</t>
  </si>
  <si>
    <t>Bheemanadam</t>
  </si>
  <si>
    <t>High Court Of Andhra Pradesh</t>
  </si>
  <si>
    <t>Advocate</t>
  </si>
  <si>
    <t>Chada</t>
  </si>
  <si>
    <t>Manhattan Associates</t>
  </si>
  <si>
    <t>Vinay</t>
  </si>
  <si>
    <t>Makkaji</t>
  </si>
  <si>
    <t>Comcast Cable</t>
  </si>
  <si>
    <t>Principal Architect (ServiceNow Platform, Enterprise ITSM)</t>
  </si>
  <si>
    <t>Karuna</t>
  </si>
  <si>
    <t>Vempala</t>
  </si>
  <si>
    <t>Assistant Vice President, Head Global Talent Acquisition</t>
  </si>
  <si>
    <t>Gopal</t>
  </si>
  <si>
    <t>RAO</t>
  </si>
  <si>
    <t>Intercontinental Exchange</t>
  </si>
  <si>
    <t>TA Head</t>
  </si>
  <si>
    <t>Yeldandi</t>
  </si>
  <si>
    <t>Broadcom Limited</t>
  </si>
  <si>
    <t>Technical Program Manager</t>
  </si>
  <si>
    <t>Choudary Gudiputi</t>
  </si>
  <si>
    <t>Director, Software Development</t>
  </si>
  <si>
    <t>Kumari</t>
  </si>
  <si>
    <t>Manager Quality Assurance</t>
  </si>
  <si>
    <t>Soni</t>
  </si>
  <si>
    <t>Param.ai</t>
  </si>
  <si>
    <t>Edifecs</t>
  </si>
  <si>
    <t>Sr. Director, Services Practices</t>
  </si>
  <si>
    <t>Chopra</t>
  </si>
  <si>
    <t>Vice President |  Global Lean Digital Transformation Leader</t>
  </si>
  <si>
    <t>Virag</t>
  </si>
  <si>
    <t>HealthCare at HOME, India</t>
  </si>
  <si>
    <t>Business Excellence Head</t>
  </si>
  <si>
    <t>Manne</t>
  </si>
  <si>
    <t>Pokkunuri</t>
  </si>
  <si>
    <t>Ganesh</t>
  </si>
  <si>
    <t>Netha</t>
  </si>
  <si>
    <t>Dr Lal PathLabs</t>
  </si>
  <si>
    <t>Senior Area Sales Manager</t>
  </si>
  <si>
    <t>raghavendra</t>
  </si>
  <si>
    <t>@ PMP</t>
  </si>
  <si>
    <t>HUMAN CAPITAL MANAGEMENT LTD</t>
  </si>
  <si>
    <t>Vamshadhara</t>
  </si>
  <si>
    <t>G Patel</t>
  </si>
  <si>
    <t>Greenko Group</t>
  </si>
  <si>
    <t>Amudhan</t>
  </si>
  <si>
    <t>Dharmapuri Palaniappan</t>
  </si>
  <si>
    <t>Lead Consultant - Agile &amp; DevOps Consulting Practice</t>
  </si>
  <si>
    <t>Sundarakannan</t>
  </si>
  <si>
    <t>Sampathkumar</t>
  </si>
  <si>
    <t>NTT DATA, Inc.</t>
  </si>
  <si>
    <t>Rajasekhar K</t>
  </si>
  <si>
    <t>CMQ-OE,CSSBB, PMP</t>
  </si>
  <si>
    <t>ITC Infotech</t>
  </si>
  <si>
    <t>Senior Quality Manager</t>
  </si>
  <si>
    <t>Prajna</t>
  </si>
  <si>
    <t>Mercedes-Benz Research and Development India</t>
  </si>
  <si>
    <t>Solution Architect - Long-term Digital Archiving (LoDA)</t>
  </si>
  <si>
    <t>Anitha</t>
  </si>
  <si>
    <t>kapoor</t>
  </si>
  <si>
    <t>Microsoft Partner Company</t>
  </si>
  <si>
    <t>Quality Analyst</t>
  </si>
  <si>
    <t>Gangasani</t>
  </si>
  <si>
    <t>Naresh Kumar</t>
  </si>
  <si>
    <t>Myntra.com</t>
  </si>
  <si>
    <t>Anuradha</t>
  </si>
  <si>
    <t>AuthBridge Research Services</t>
  </si>
  <si>
    <t>Pelluru</t>
  </si>
  <si>
    <t>Senior Program Manager</t>
  </si>
  <si>
    <t xml:space="preserve">Raja </t>
  </si>
  <si>
    <t>Asireddy</t>
  </si>
  <si>
    <t>Talent Acquisition Lead</t>
  </si>
  <si>
    <t>NorthgateArinso</t>
  </si>
  <si>
    <t>Analyst Systems</t>
  </si>
  <si>
    <t>Devesh Chaturvedi</t>
  </si>
  <si>
    <t>(MSc,MTQM,SSBB,PSM,)</t>
  </si>
  <si>
    <t>Business Process Consultant</t>
  </si>
  <si>
    <t>Pramod</t>
  </si>
  <si>
    <t>Bhat</t>
  </si>
  <si>
    <t>National Trades Union Congress (NTUC)</t>
  </si>
  <si>
    <t>Business Intelligence Specialist</t>
  </si>
  <si>
    <t>Raman</t>
  </si>
  <si>
    <t>NCR Corporation</t>
  </si>
  <si>
    <t>Sr. Quality Analyst</t>
  </si>
  <si>
    <t>Kujala</t>
  </si>
  <si>
    <t>Linga</t>
  </si>
  <si>
    <t>BGR Energy Systems</t>
  </si>
  <si>
    <t>Senior Electrical Engineer</t>
  </si>
  <si>
    <t>Gollu</t>
  </si>
  <si>
    <t>Rohit Arjun</t>
  </si>
  <si>
    <t>Sambhwani</t>
  </si>
  <si>
    <t>Solunus, Inc.</t>
  </si>
  <si>
    <t>IT</t>
  </si>
  <si>
    <t>Quality Assurance Team Lead</t>
  </si>
  <si>
    <t>CES</t>
  </si>
  <si>
    <t>System Analyst</t>
  </si>
  <si>
    <t>Siddhartha</t>
  </si>
  <si>
    <t>Gowtham</t>
  </si>
  <si>
    <t>QA Test Lead</t>
  </si>
  <si>
    <t>C.S.</t>
  </si>
  <si>
    <t>Cletus</t>
  </si>
  <si>
    <t>Senior Manager Strategic Initiatives &amp; Operational Excellence</t>
  </si>
  <si>
    <t>vijayalakshmi</t>
  </si>
  <si>
    <t>kv</t>
  </si>
  <si>
    <t>IT , software/services</t>
  </si>
  <si>
    <t>Lead - Process quality assurance</t>
  </si>
  <si>
    <t>Venu</t>
  </si>
  <si>
    <t>Saksoft</t>
  </si>
  <si>
    <t>Neelu</t>
  </si>
  <si>
    <t xml:space="preserve">Executive Manager Human Resource </t>
  </si>
  <si>
    <t>Worldwide Support Leder - Microsoft Digital, Success, Services</t>
  </si>
  <si>
    <t>Swagath</t>
  </si>
  <si>
    <t>Sandaboina</t>
  </si>
  <si>
    <t>Select Medical</t>
  </si>
  <si>
    <t>Senior Software Development Engineer</t>
  </si>
  <si>
    <t>Khushboo</t>
  </si>
  <si>
    <t>Bosch Limited</t>
  </si>
  <si>
    <t>Deputy Manager-Quality Management</t>
  </si>
  <si>
    <t>Hannu</t>
  </si>
  <si>
    <t>JÃ¤rvelin</t>
  </si>
  <si>
    <t>Head of Audits and Process Assessments</t>
  </si>
  <si>
    <t>Madasu</t>
  </si>
  <si>
    <t>Neelima</t>
  </si>
  <si>
    <t>Business process anlst</t>
  </si>
  <si>
    <t>Ravirala</t>
  </si>
  <si>
    <t>Shiva</t>
  </si>
  <si>
    <t xml:space="preserve">BCBS thru Cognizant </t>
  </si>
  <si>
    <t xml:space="preserve">Big Data Architect / Designer </t>
  </si>
  <si>
    <t>Bhaskar Tej</t>
  </si>
  <si>
    <t>Siriki</t>
  </si>
  <si>
    <t>Pole Star Space Applications</t>
  </si>
  <si>
    <t>Senior Test Consultant</t>
  </si>
  <si>
    <t>sandeep</t>
  </si>
  <si>
    <t>vutukuri</t>
  </si>
  <si>
    <t>Azure data engineer consultant</t>
  </si>
  <si>
    <t>Brian</t>
  </si>
  <si>
    <t>Moore</t>
  </si>
  <si>
    <t>Huawei Technologies</t>
  </si>
  <si>
    <t>Senior Technical Recruiter</t>
  </si>
  <si>
    <t>Arram</t>
  </si>
  <si>
    <t>Sandhya</t>
  </si>
  <si>
    <t>Software Quality Analyst</t>
  </si>
  <si>
    <t>Sushant</t>
  </si>
  <si>
    <t>Dutt</t>
  </si>
  <si>
    <t>SVP &amp; Partner : Energy &amp; Utility - NA, Canada &amp; LATAM</t>
  </si>
  <si>
    <t>pavan</t>
  </si>
  <si>
    <t>guys</t>
  </si>
  <si>
    <t>Nagendra Kumar</t>
  </si>
  <si>
    <t>Lonnie</t>
  </si>
  <si>
    <t>Clark</t>
  </si>
  <si>
    <t>Senior Product Manager, Marketing AI</t>
  </si>
  <si>
    <t>Chouhan</t>
  </si>
  <si>
    <t>InfoBeans</t>
  </si>
  <si>
    <t>Baldev</t>
  </si>
  <si>
    <t>E S</t>
  </si>
  <si>
    <t>Anjan</t>
  </si>
  <si>
    <t>Coupa Software</t>
  </si>
  <si>
    <t>Quality Engineering Manager</t>
  </si>
  <si>
    <t>Sumanth</t>
  </si>
  <si>
    <t>pokala</t>
  </si>
  <si>
    <t>Reliant Global corp</t>
  </si>
  <si>
    <t>General Manager Business Operations</t>
  </si>
  <si>
    <t>Baird</t>
  </si>
  <si>
    <t>ProcessModel, Inc.</t>
  </si>
  <si>
    <t>President/CEO</t>
  </si>
  <si>
    <t>Suryadevara</t>
  </si>
  <si>
    <t>Kony, Inc.</t>
  </si>
  <si>
    <t>Associate QA Manager</t>
  </si>
  <si>
    <t>Palmur</t>
  </si>
  <si>
    <t>Accenture Services Pvt. Ltd.</t>
  </si>
  <si>
    <t>Venkata Sheshu kumar</t>
  </si>
  <si>
    <t>Govardhanam</t>
  </si>
  <si>
    <t>Lender Processing Services, Inc. (LPS)</t>
  </si>
  <si>
    <t>Venugopal</t>
  </si>
  <si>
    <t>Vinjamoori</t>
  </si>
  <si>
    <t>Tennety</t>
  </si>
  <si>
    <t>Mendix</t>
  </si>
  <si>
    <t>DivyaPrakash</t>
  </si>
  <si>
    <t>Nanjundappa</t>
  </si>
  <si>
    <t>QuEST Global</t>
  </si>
  <si>
    <t>SUDEEP</t>
  </si>
  <si>
    <t>APHALE</t>
  </si>
  <si>
    <t>Atos India</t>
  </si>
  <si>
    <t>Aniket</t>
  </si>
  <si>
    <t>Sigmaways</t>
  </si>
  <si>
    <t>Sr Technical Recruiter</t>
  </si>
  <si>
    <t>Rajiv</t>
  </si>
  <si>
    <t>AcuiZen</t>
  </si>
  <si>
    <t>Guru Prasad</t>
  </si>
  <si>
    <t>Belde</t>
  </si>
  <si>
    <t>Global Program Manager Client Experience Transformation &amp; Predictive Business Insights</t>
  </si>
  <si>
    <t>Vineet</t>
  </si>
  <si>
    <t>Bhargava</t>
  </si>
  <si>
    <t>Vinod</t>
  </si>
  <si>
    <t>Viswanathan</t>
  </si>
  <si>
    <t>Cummins India Ltd</t>
  </si>
  <si>
    <t>Supply Chain Leader - Projects Business (PSBU)</t>
  </si>
  <si>
    <t xml:space="preserve">Avinesh </t>
  </si>
  <si>
    <t>(Reo Parker)</t>
  </si>
  <si>
    <t>Bravens Inc.</t>
  </si>
  <si>
    <t>Senior Talent Acquisition Specialist / Lead  ( Bravens / AMPCUS)</t>
  </si>
  <si>
    <t>Martijn</t>
  </si>
  <si>
    <t>Kreek</t>
  </si>
  <si>
    <t>ABN AMRO Clearing Bank</t>
  </si>
  <si>
    <t>IT Performance Manager</t>
  </si>
  <si>
    <t>Rishi</t>
  </si>
  <si>
    <t>Kaushal</t>
  </si>
  <si>
    <t>e-Solutions Inc</t>
  </si>
  <si>
    <t>Manager - Talent Acquisition (APAC) ~ Esol Pte Ltd</t>
  </si>
  <si>
    <t>SIVA</t>
  </si>
  <si>
    <t>RAVURI, PMP, ASQ CSSBB, ITIL, CSM, CSQA</t>
  </si>
  <si>
    <t>ACS, a Xerox Company</t>
  </si>
  <si>
    <t>PMO QA/QC</t>
  </si>
  <si>
    <t>Jami</t>
  </si>
  <si>
    <t>SkyPoint Learning Solutions</t>
  </si>
  <si>
    <t>Harpal Singh</t>
  </si>
  <si>
    <t>Kalsi, PMP</t>
  </si>
  <si>
    <t>KunapaRaju</t>
  </si>
  <si>
    <t>Mastercard</t>
  </si>
  <si>
    <t>Umair</t>
  </si>
  <si>
    <t>iTech US Inc, A SharedLabs Company</t>
  </si>
  <si>
    <t>Team Lead</t>
  </si>
  <si>
    <t>Narasimha Rao</t>
  </si>
  <si>
    <t>Arvapalli</t>
  </si>
  <si>
    <t>VSP Vision Care</t>
  </si>
  <si>
    <t>Apurva</t>
  </si>
  <si>
    <t>Lead Business Analyst</t>
  </si>
  <si>
    <t>Krishnan</t>
  </si>
  <si>
    <t>Venkata</t>
  </si>
  <si>
    <t xml:space="preserve">Business Process Re-engineering Leader </t>
  </si>
  <si>
    <t>Kandibanda</t>
  </si>
  <si>
    <t>Siemens PLM Software</t>
  </si>
  <si>
    <t>Kranti</t>
  </si>
  <si>
    <t>Tagur</t>
  </si>
  <si>
    <t>Cisco Systems</t>
  </si>
  <si>
    <t>SOFTWARE ENGINEER</t>
  </si>
  <si>
    <t>shashidhar</t>
  </si>
  <si>
    <t>gannarapu</t>
  </si>
  <si>
    <t>CGI</t>
  </si>
  <si>
    <t>Lead Analyst Quality</t>
  </si>
  <si>
    <t>Nathaniel</t>
  </si>
  <si>
    <t>Vadde</t>
  </si>
  <si>
    <t>Oracle SSI</t>
  </si>
  <si>
    <t>Principal Consultant</t>
  </si>
  <si>
    <t>Koutarapu, PMI-ACP, SAFeÂ® 4 Agilist, Agile Coach</t>
  </si>
  <si>
    <t>Silicus</t>
  </si>
  <si>
    <t>Tharunkumar</t>
  </si>
  <si>
    <t>Gattu</t>
  </si>
  <si>
    <t>GalaxE.Solutions</t>
  </si>
  <si>
    <t>Senior Quality Assurance Consultant</t>
  </si>
  <si>
    <t>Transportation Technology Center, Inc</t>
  </si>
  <si>
    <t>KRISHNA</t>
  </si>
  <si>
    <t>platinus technologies pvt ltd</t>
  </si>
  <si>
    <t>US PAYROLL AND ACCOUNTS-LEAD at PLATINUS TECHOLOGIES PVT LTD</t>
  </si>
  <si>
    <t>Mohammed Abdul</t>
  </si>
  <si>
    <t>Mujeeb</t>
  </si>
  <si>
    <t>GE</t>
  </si>
  <si>
    <t>Staff Cyber Security Architect</t>
  </si>
  <si>
    <t>Boreddy</t>
  </si>
  <si>
    <t>Systel Inc</t>
  </si>
  <si>
    <t>US IT Recruiter</t>
  </si>
  <si>
    <t>Pavankumar</t>
  </si>
  <si>
    <t>Tatiraju</t>
  </si>
  <si>
    <t>Xerox</t>
  </si>
  <si>
    <t>IT Professional</t>
  </si>
  <si>
    <t>SATHISH</t>
  </si>
  <si>
    <t>MEREYALA</t>
  </si>
  <si>
    <t>Tecnipfmc</t>
  </si>
  <si>
    <t>Engineering Planning Lead</t>
  </si>
  <si>
    <t>CVP (Customer Value Partners)</t>
  </si>
  <si>
    <t>Capture Excellence</t>
  </si>
  <si>
    <t>Niranjan</t>
  </si>
  <si>
    <t>Sridharan</t>
  </si>
  <si>
    <t>FDA</t>
  </si>
  <si>
    <t>Quality Manager and Release Manager</t>
  </si>
  <si>
    <t>Russell Tobin</t>
  </si>
  <si>
    <t>Senior Associate Recruiter</t>
  </si>
  <si>
    <t>Ravi S</t>
  </si>
  <si>
    <t>Director - AIOps &amp; Automation</t>
  </si>
  <si>
    <t>Sargam</t>
  </si>
  <si>
    <t>karnakumar</t>
  </si>
  <si>
    <t>mogulla</t>
  </si>
  <si>
    <t>Oracle Corporation</t>
  </si>
  <si>
    <t>Satheesh</t>
  </si>
  <si>
    <t>Chandrasekaran</t>
  </si>
  <si>
    <t>Singtel</t>
  </si>
  <si>
    <t>Test Program Manager</t>
  </si>
  <si>
    <t>Kandy</t>
  </si>
  <si>
    <t>Samy</t>
  </si>
  <si>
    <t>Director - Data and Analytics</t>
  </si>
  <si>
    <t>NIVE</t>
  </si>
  <si>
    <t>LOGANATHAN</t>
  </si>
  <si>
    <t>IT Audit Manager</t>
  </si>
  <si>
    <t>Lakamsany</t>
  </si>
  <si>
    <t>Capital One</t>
  </si>
  <si>
    <t>Sr systems engineer/vdi</t>
  </si>
  <si>
    <t>CyberQ Consulting</t>
  </si>
  <si>
    <t>Managing Partner and CEO</t>
  </si>
  <si>
    <t>Lakshmi Narasimha</t>
  </si>
  <si>
    <t>Ravi Shankar</t>
  </si>
  <si>
    <t>Chejarla</t>
  </si>
  <si>
    <t>Applause</t>
  </si>
  <si>
    <t>Sr. Managerâ€“QA Operations (for Uber, Google â™¦ Planning / Analysis / Execution â™¦ Leading Global Teams</t>
  </si>
  <si>
    <t>Allen</t>
  </si>
  <si>
    <t>AT&amp;T Wireless</t>
  </si>
  <si>
    <t>SQA Manager</t>
  </si>
  <si>
    <t>megha</t>
  </si>
  <si>
    <t>george</t>
  </si>
  <si>
    <t>Mannai Corporation QSC</t>
  </si>
  <si>
    <t>Software Quality Assurance Analyst</t>
  </si>
  <si>
    <t>hari</t>
  </si>
  <si>
    <t>akella</t>
  </si>
  <si>
    <t>Oracle Communications Consulting</t>
  </si>
  <si>
    <t>Visa</t>
  </si>
  <si>
    <t>Koti Reddy</t>
  </si>
  <si>
    <t>Bhavanam</t>
  </si>
  <si>
    <t>United Technologies</t>
  </si>
  <si>
    <t>Head, Agile</t>
  </si>
  <si>
    <t>Royal Dutch Shell</t>
  </si>
  <si>
    <t>Lotus</t>
  </si>
  <si>
    <t>Smartedge Solutions</t>
  </si>
  <si>
    <t>RamaKrishnaChaitanya</t>
  </si>
  <si>
    <t>Paladugu</t>
  </si>
  <si>
    <t>Wabtec Corporation</t>
  </si>
  <si>
    <t>Quality Assurance Engineer</t>
  </si>
  <si>
    <t>shilpa</t>
  </si>
  <si>
    <t>sarath</t>
  </si>
  <si>
    <t>Pitti Laminations Ltd</t>
  </si>
  <si>
    <t>Deputy Manager - Materials</t>
  </si>
  <si>
    <t>sachin</t>
  </si>
  <si>
    <t>padakandla</t>
  </si>
  <si>
    <t>consultant</t>
  </si>
  <si>
    <t>Director - Product Marketing, Modern Workplace</t>
  </si>
  <si>
    <t>Nirmal</t>
  </si>
  <si>
    <t>Chandran(CMMI ,CSM, SP SAFe4,Six Sigma Black Belt)</t>
  </si>
  <si>
    <t>PACE COMPUTER SOLUTIONS INC</t>
  </si>
  <si>
    <t>Software Quality Assurance Consultant</t>
  </si>
  <si>
    <t>Ranjith</t>
  </si>
  <si>
    <t>Chinni</t>
  </si>
  <si>
    <t>United health group</t>
  </si>
  <si>
    <t>Vrushabh</t>
  </si>
  <si>
    <t>HARMAN Connected Services</t>
  </si>
  <si>
    <t>Suresh Chandra Bose</t>
  </si>
  <si>
    <t>G, PMP</t>
  </si>
  <si>
    <t>Associate Director - Cognizant Business Consulting</t>
  </si>
  <si>
    <t>Baleeswara R</t>
  </si>
  <si>
    <t>Bolleddula</t>
  </si>
  <si>
    <t>General Dynamics Information Technology</t>
  </si>
  <si>
    <t>Senior Oracle Application Database Administrator</t>
  </si>
  <si>
    <t>Balu</t>
  </si>
  <si>
    <t>Gullepalli</t>
  </si>
  <si>
    <t>S&amp;P Global</t>
  </si>
  <si>
    <t>Site Reliability Engineer</t>
  </si>
  <si>
    <t>B Sreekanth</t>
  </si>
  <si>
    <t>Abhyas Model School</t>
  </si>
  <si>
    <t>Academic Coordinator</t>
  </si>
  <si>
    <t>kranthi</t>
  </si>
  <si>
    <t>Avasarala Technologies Ltd.,</t>
  </si>
  <si>
    <t>sr.Engineer, Planning</t>
  </si>
  <si>
    <t>Vangari</t>
  </si>
  <si>
    <t>GE Power</t>
  </si>
  <si>
    <t>Lead Product Service Engineer - GT, ST, and Gen</t>
  </si>
  <si>
    <t>Sukesh</t>
  </si>
  <si>
    <t>Phani</t>
  </si>
  <si>
    <t>Boyapati - FAHMÂ®,ISTQBÂ®, CSTEÂ®</t>
  </si>
  <si>
    <t>Project Delivery Specialist</t>
  </si>
  <si>
    <t>deepika</t>
  </si>
  <si>
    <t>kalra(Gosain)</t>
  </si>
  <si>
    <t>govind</t>
  </si>
  <si>
    <t>gembali</t>
  </si>
  <si>
    <t>Software Development Manager  | SWA</t>
  </si>
  <si>
    <t>Rajitha</t>
  </si>
  <si>
    <t>Mahindra Satyam</t>
  </si>
  <si>
    <t>Bharat Kumar Raju</t>
  </si>
  <si>
    <t>Patchamatla</t>
  </si>
  <si>
    <t>Black Knight Financial Services</t>
  </si>
  <si>
    <t>QA Automation Manager</t>
  </si>
  <si>
    <t>Prabhakar Rao</t>
  </si>
  <si>
    <t>Atukuri</t>
  </si>
  <si>
    <t>Infotech Enterprises</t>
  </si>
  <si>
    <t>arun kumar</t>
  </si>
  <si>
    <t>s</t>
  </si>
  <si>
    <t>Sr Software Engineer</t>
  </si>
  <si>
    <t>Tanpure</t>
  </si>
  <si>
    <t>Synechron</t>
  </si>
  <si>
    <t>Lead - Recruitment  - UK Talent Acquisition</t>
  </si>
  <si>
    <t>Kumar Bairy</t>
  </si>
  <si>
    <t>Medtronic</t>
  </si>
  <si>
    <t>Principal QA Analyst</t>
  </si>
  <si>
    <t>Narender Reddy</t>
  </si>
  <si>
    <t>Nomula</t>
  </si>
  <si>
    <t>MAGNIFICUS OVERSEAS EDUCATIONAL CONSULTANCY</t>
  </si>
  <si>
    <t>Manager Operations</t>
  </si>
  <si>
    <t>Pulla</t>
  </si>
  <si>
    <t>Project Leader, EMEA Add-On Localizations.</t>
  </si>
  <si>
    <t>SAP4you</t>
  </si>
  <si>
    <t>Training Coordinator</t>
  </si>
  <si>
    <t>Ismail</t>
  </si>
  <si>
    <t>Larsen &amp; Toubro Technology Services Limited</t>
  </si>
  <si>
    <t>Suma</t>
  </si>
  <si>
    <t>Komarraju</t>
  </si>
  <si>
    <t>State Farm Â®</t>
  </si>
  <si>
    <t>Technical Architect</t>
  </si>
  <si>
    <t>TATA Consultancy Services</t>
  </si>
  <si>
    <t>Gangadhar</t>
  </si>
  <si>
    <t>Mammai</t>
  </si>
  <si>
    <t>Baddam</t>
  </si>
  <si>
    <t>FEV, Inc.</t>
  </si>
  <si>
    <t>Regulations and Gov't Relations Engineer</t>
  </si>
  <si>
    <t>Krishna.G</t>
  </si>
  <si>
    <t>Consulting Practice Manager</t>
  </si>
  <si>
    <t>ravindra kumar</t>
  </si>
  <si>
    <t>ramilla</t>
  </si>
  <si>
    <t>Dosapati</t>
  </si>
  <si>
    <t>Ram Tech Systems</t>
  </si>
  <si>
    <t>Khandoba Rao</t>
  </si>
  <si>
    <t>miriskar</t>
  </si>
  <si>
    <t>Hexagon PPM</t>
  </si>
  <si>
    <t>Senior Product Manager</t>
  </si>
  <si>
    <t>State of California</t>
  </si>
  <si>
    <t>User Acceptance</t>
  </si>
  <si>
    <t>Veerendra</t>
  </si>
  <si>
    <t>Inf Service</t>
  </si>
  <si>
    <t>APM</t>
  </si>
  <si>
    <t>Subba Rao</t>
  </si>
  <si>
    <t>Garapati</t>
  </si>
  <si>
    <t>Techwave Consulting Inc</t>
  </si>
  <si>
    <t>Project Manager  - Quality and PMO</t>
  </si>
  <si>
    <t>Veera</t>
  </si>
  <si>
    <t>Senior Staff Engineer</t>
  </si>
  <si>
    <t>Ravva</t>
  </si>
  <si>
    <t>yedavelli</t>
  </si>
  <si>
    <t>penfossystems</t>
  </si>
  <si>
    <t>Sr.SAS Programmer</t>
  </si>
  <si>
    <t>varun karthik</t>
  </si>
  <si>
    <t>eranti</t>
  </si>
  <si>
    <t>Technical Specialist</t>
  </si>
  <si>
    <t>Marie</t>
  </si>
  <si>
    <t>Larsson, CSM</t>
  </si>
  <si>
    <t>Sogeti</t>
  </si>
  <si>
    <t>Senior Test Manager</t>
  </si>
  <si>
    <t>Hemant</t>
  </si>
  <si>
    <t>Kasibhotla</t>
  </si>
  <si>
    <t>.raj</t>
  </si>
  <si>
    <t>Consultant business systems</t>
  </si>
  <si>
    <t>Thirtha</t>
  </si>
  <si>
    <t>Uthappa</t>
  </si>
  <si>
    <t>Samaarajewellery</t>
  </si>
  <si>
    <t>Founder &amp; Jewellery Conceptualizer</t>
  </si>
  <si>
    <t>Badam</t>
  </si>
  <si>
    <t>CES Global LLC</t>
  </si>
  <si>
    <t>Gutlapalli</t>
  </si>
  <si>
    <t>Amar</t>
  </si>
  <si>
    <t>Patwari</t>
  </si>
  <si>
    <t>Infotech</t>
  </si>
  <si>
    <t>Jyothirmai</t>
  </si>
  <si>
    <t>Mudumba</t>
  </si>
  <si>
    <t>Senior Account Quality Manager</t>
  </si>
  <si>
    <t>kiran</t>
  </si>
  <si>
    <t>Maddali</t>
  </si>
  <si>
    <t>Techwave</t>
  </si>
  <si>
    <t>Vice President - Europe</t>
  </si>
  <si>
    <t>Sambari</t>
  </si>
  <si>
    <t>CTS</t>
  </si>
  <si>
    <t>Chandrakanth</t>
  </si>
  <si>
    <t>Chilumula</t>
  </si>
  <si>
    <t>Palni Inc</t>
  </si>
  <si>
    <t>Sreerangam</t>
  </si>
  <si>
    <t>Sr. Functional Consultant - SAP Logistics</t>
  </si>
  <si>
    <t>Velamakanni</t>
  </si>
  <si>
    <t>TechPennar</t>
  </si>
  <si>
    <t>Marketing and Business Operations</t>
  </si>
  <si>
    <t>Christine</t>
  </si>
  <si>
    <t>Norfleet</t>
  </si>
  <si>
    <t>IBM/FDIC</t>
  </si>
  <si>
    <t>Quality Assurance and CMMI Manager</t>
  </si>
  <si>
    <t>Maddamsetty</t>
  </si>
  <si>
    <t>VOITH Turbo Private Limited</t>
  </si>
  <si>
    <t>Design Engineer (New &amp; Special Products)</t>
  </si>
  <si>
    <t>Praphul</t>
  </si>
  <si>
    <t>Mohan Das</t>
  </si>
  <si>
    <t>Powerex</t>
  </si>
  <si>
    <t>Database Administrator</t>
  </si>
  <si>
    <t>Bala Krishna</t>
  </si>
  <si>
    <t>Namburi</t>
  </si>
  <si>
    <t>Techwave India Pvt Ltd</t>
  </si>
  <si>
    <t>Nishanth Kumar</t>
  </si>
  <si>
    <t>Chenchu</t>
  </si>
  <si>
    <t>Lead Consultant &amp; Development Manager</t>
  </si>
  <si>
    <t>Ananth</t>
  </si>
  <si>
    <t>Benedict</t>
  </si>
  <si>
    <t>Phoenix Contact USA</t>
  </si>
  <si>
    <t>Project Sales Engineer</t>
  </si>
  <si>
    <t>Yogeswara Rao</t>
  </si>
  <si>
    <t>Dakara</t>
  </si>
  <si>
    <t>Stanley Black &amp; Decker, Inc.</t>
  </si>
  <si>
    <t>Product Development Engineer</t>
  </si>
  <si>
    <t>Prathap</t>
  </si>
  <si>
    <t>jagadeeshwar</t>
  </si>
  <si>
    <t>U.S. Census Bureau</t>
  </si>
  <si>
    <t>Middleware Administrator</t>
  </si>
  <si>
    <t>Sunitha</t>
  </si>
  <si>
    <t>Senior Quality Assurance Engineer</t>
  </si>
  <si>
    <t>ramarao</t>
  </si>
  <si>
    <t>Principal Quality Assurance Engineer</t>
  </si>
  <si>
    <t>swapna</t>
  </si>
  <si>
    <t>Madella</t>
  </si>
  <si>
    <t>Dura Automotive Systems LLC</t>
  </si>
  <si>
    <t>Designer-III</t>
  </si>
  <si>
    <t>santhosh</t>
  </si>
  <si>
    <t>ravva</t>
  </si>
  <si>
    <t>Keerti Kiran</t>
  </si>
  <si>
    <t>Mummidi</t>
  </si>
  <si>
    <t>UHG IS</t>
  </si>
  <si>
    <t>Test Engineer</t>
  </si>
  <si>
    <t>Premkumar</t>
  </si>
  <si>
    <t>Maru</t>
  </si>
  <si>
    <t>Thermo Fisher Scientific</t>
  </si>
  <si>
    <t>Refrigeration engineer</t>
  </si>
  <si>
    <t>Vrushab</t>
  </si>
  <si>
    <t>Hanji</t>
  </si>
  <si>
    <t>Lead Administrator</t>
  </si>
  <si>
    <t>mohammad</t>
  </si>
  <si>
    <t>javed</t>
  </si>
  <si>
    <t>Ista Hotels</t>
  </si>
  <si>
    <t>food&amp;beverage associate</t>
  </si>
  <si>
    <t>Rama Subba Rao</t>
  </si>
  <si>
    <t>Lead Analyst</t>
  </si>
  <si>
    <t>Rajender</t>
  </si>
  <si>
    <t>Earra</t>
  </si>
  <si>
    <t>Infotech Enterprises IT Services Pvt Ltd ( Infotech IT )</t>
  </si>
  <si>
    <t>Sapna</t>
  </si>
  <si>
    <t>Hebri</t>
  </si>
  <si>
    <t>Service Manager - Quality</t>
  </si>
  <si>
    <t>Asish</t>
  </si>
  <si>
    <t>Mohanty</t>
  </si>
  <si>
    <t>M. H. Alshaya Co.</t>
  </si>
  <si>
    <t>Business Continuity Manager</t>
  </si>
  <si>
    <t>Mahender.J</t>
  </si>
  <si>
    <t>..</t>
  </si>
  <si>
    <t>Sharath</t>
  </si>
  <si>
    <t>P. M</t>
  </si>
  <si>
    <t>ESI Group</t>
  </si>
  <si>
    <t>Manager - Process Quality</t>
  </si>
  <si>
    <t>Chaturvedi</t>
  </si>
  <si>
    <t>Reliance India Limited</t>
  </si>
  <si>
    <t>Chief Manager</t>
  </si>
  <si>
    <t>Prasanna Kumar</t>
  </si>
  <si>
    <t>Mamidala</t>
  </si>
  <si>
    <t>Salesforce Delivery Manager</t>
  </si>
  <si>
    <t>KV</t>
  </si>
  <si>
    <t>Business Unit Head</t>
  </si>
  <si>
    <t>Ravishankar</t>
  </si>
  <si>
    <t>Bandepalli</t>
  </si>
  <si>
    <t>Cyient Ltd.</t>
  </si>
  <si>
    <t>Deputy General Manager</t>
  </si>
  <si>
    <t>Nanda</t>
  </si>
  <si>
    <t>Bochkar, ITIL, CSM</t>
  </si>
  <si>
    <t>Marlabs software pvt ltd</t>
  </si>
  <si>
    <t>Geetha Sravanthi</t>
  </si>
  <si>
    <t>Sana</t>
  </si>
  <si>
    <t>The Global edge school</t>
  </si>
  <si>
    <t>Primary School Teacher</t>
  </si>
  <si>
    <t>Shashanka</t>
  </si>
  <si>
    <t>Thappetla</t>
  </si>
  <si>
    <t>Dheeraj</t>
  </si>
  <si>
    <t>Overstock.com</t>
  </si>
  <si>
    <t>Talari</t>
  </si>
  <si>
    <t>Senior Associate Consultant</t>
  </si>
  <si>
    <t>Ram Kishore</t>
  </si>
  <si>
    <t>Bharath Electronics Limited</t>
  </si>
  <si>
    <t>Member of Research Staff</t>
  </si>
  <si>
    <t>Vijay Chandar</t>
  </si>
  <si>
    <t>Gajawada</t>
  </si>
  <si>
    <t>Genpact India</t>
  </si>
  <si>
    <t>Ramuni</t>
  </si>
  <si>
    <t>CES Technology Services Pvt Ltd</t>
  </si>
  <si>
    <t>Technical Manager</t>
  </si>
  <si>
    <t>Kallakuri</t>
  </si>
  <si>
    <t>Consulting Technical Manager, Senior Project Manager</t>
  </si>
  <si>
    <t>Geetika</t>
  </si>
  <si>
    <t>Punchhi</t>
  </si>
  <si>
    <t>Adobe Systems</t>
  </si>
  <si>
    <t>Project Program Manager</t>
  </si>
  <si>
    <t>Hema Lata</t>
  </si>
  <si>
    <t>Bahadur</t>
  </si>
  <si>
    <t>National Gallery of Art</t>
  </si>
  <si>
    <t>Cloud Solution Architect</t>
  </si>
  <si>
    <t>Meda</t>
  </si>
  <si>
    <t>Johnson Controls(client) - Infosys Technolgies</t>
  </si>
  <si>
    <t>Technology Lead</t>
  </si>
  <si>
    <t>Chandu Rao</t>
  </si>
  <si>
    <t>Aishwarya</t>
  </si>
  <si>
    <t>Global Minds Limited.</t>
  </si>
  <si>
    <t>Oracle Application Technical Consultant</t>
  </si>
  <si>
    <t>Venkata Anil Kumar</t>
  </si>
  <si>
    <t>UTC Aerospace Systems</t>
  </si>
  <si>
    <t>Principal Engineer</t>
  </si>
  <si>
    <t>Sasi</t>
  </si>
  <si>
    <t>Agile Kanban Coach &amp; Services Integration and Management (SIAM)</t>
  </si>
  <si>
    <t>Suhail Ahmed</t>
  </si>
  <si>
    <t>Ali Shariff</t>
  </si>
  <si>
    <t>Quality</t>
  </si>
  <si>
    <t>Excers Software Solution</t>
  </si>
  <si>
    <t>Raghavapudi</t>
  </si>
  <si>
    <t>CYIENT</t>
  </si>
  <si>
    <t>Deputy Manager Quality</t>
  </si>
  <si>
    <t>Abhay Kale</t>
  </si>
  <si>
    <t>à¤…à¤­à¤¯ à¤•à¤¾à¤³à¥‡</t>
  </si>
  <si>
    <t>Manager Quality Management</t>
  </si>
  <si>
    <t>AVSS</t>
  </si>
  <si>
    <t>1Digitals Europe Limited</t>
  </si>
  <si>
    <t>Vice President of Sales</t>
  </si>
  <si>
    <t>S Venkat</t>
  </si>
  <si>
    <t>Subramony</t>
  </si>
  <si>
    <t>ORACLE SSI</t>
  </si>
  <si>
    <t>Upender</t>
  </si>
  <si>
    <t>Kowda</t>
  </si>
  <si>
    <t>SAP Solution Delivery  Center, India</t>
  </si>
  <si>
    <t>Consultant, SAP Banking Services</t>
  </si>
  <si>
    <t>Telukunta</t>
  </si>
  <si>
    <t>Sr Oracle ERP Cloud Applications Engineer</t>
  </si>
  <si>
    <t>Gosala</t>
  </si>
  <si>
    <t>Capital Linked Limited</t>
  </si>
  <si>
    <t>Promoter of a Fintech company - www.capitallinked.com</t>
  </si>
  <si>
    <t>Metpally</t>
  </si>
  <si>
    <t>Prodigy Software Solutions</t>
  </si>
  <si>
    <t>Apps Consultant</t>
  </si>
  <si>
    <t>Penta</t>
  </si>
  <si>
    <t>Senior Lead Engineer</t>
  </si>
  <si>
    <t>Chappidi</t>
  </si>
  <si>
    <t>Senior Development Manager</t>
  </si>
  <si>
    <t>Satish Kumar Reddy</t>
  </si>
  <si>
    <t>Byreddy</t>
  </si>
  <si>
    <t>Competency Lead, Financials, Project Accounting &amp; Primavera</t>
  </si>
  <si>
    <t>Manchukonda</t>
  </si>
  <si>
    <t>coMakeIT</t>
  </si>
  <si>
    <t>Product Specialist</t>
  </si>
  <si>
    <t>Waghray</t>
  </si>
  <si>
    <t>Metrolinx</t>
  </si>
  <si>
    <t>Lavanuru</t>
  </si>
  <si>
    <t>Wipro</t>
  </si>
  <si>
    <t>Baburao</t>
  </si>
  <si>
    <t>Marla</t>
  </si>
  <si>
    <t>Oracle India Private Limited</t>
  </si>
  <si>
    <t xml:space="preserve">Localizations Development Manager </t>
  </si>
  <si>
    <t>Farrah</t>
  </si>
  <si>
    <t>Tazyeen</t>
  </si>
  <si>
    <t>The Pregnancy Pause</t>
  </si>
  <si>
    <t>Mother</t>
  </si>
  <si>
    <t>Shanta Ram</t>
  </si>
  <si>
    <t>Akella</t>
  </si>
  <si>
    <t>Gutlapalli,VIJAYA</t>
  </si>
  <si>
    <t>Kirshna</t>
  </si>
  <si>
    <t>Oracle Corporation Sub Sahara Africa</t>
  </si>
  <si>
    <t>Director Enterprise Architecture</t>
  </si>
  <si>
    <t>Jyotsna</t>
  </si>
  <si>
    <t>Gamidi</t>
  </si>
  <si>
    <t>Alpha Net</t>
  </si>
  <si>
    <t>Oracle Application Engineer</t>
  </si>
  <si>
    <t>RaghuRam</t>
  </si>
  <si>
    <t>Madhuveer</t>
  </si>
  <si>
    <t>Vastrala</t>
  </si>
  <si>
    <t>Telenet</t>
  </si>
  <si>
    <t>Release Manager</t>
  </si>
  <si>
    <t>Pasupuleti</t>
  </si>
  <si>
    <t>Staff Cunsltant</t>
  </si>
  <si>
    <t>Sajja</t>
  </si>
  <si>
    <t>Nabors Industries</t>
  </si>
  <si>
    <t>Senior Application Consultant</t>
  </si>
  <si>
    <t>Kishore Kumar</t>
  </si>
  <si>
    <t>Yepuri</t>
  </si>
  <si>
    <t>Principal Applications Engineer</t>
  </si>
  <si>
    <t>Lekha</t>
  </si>
  <si>
    <t>Cerner Corporation</t>
  </si>
  <si>
    <t>raghavendar</t>
  </si>
  <si>
    <t>j</t>
  </si>
  <si>
    <t>Inmage Systems</t>
  </si>
  <si>
    <t>Sr Software engineer</t>
  </si>
  <si>
    <t>SHIVA</t>
  </si>
  <si>
    <t>North American Savings Bank</t>
  </si>
  <si>
    <t>Chettigari</t>
  </si>
  <si>
    <t>ZULEKHA HOSPITAL</t>
  </si>
  <si>
    <t>Senior Manager HR</t>
  </si>
  <si>
    <t>Rungshing</t>
  </si>
  <si>
    <t>Khathing</t>
  </si>
  <si>
    <t>On sabatical</t>
  </si>
  <si>
    <t>Athikam</t>
  </si>
  <si>
    <t>Goldman Sachs</t>
  </si>
  <si>
    <t>Staff Consultant</t>
  </si>
  <si>
    <t>Senior Systems Engineer</t>
  </si>
  <si>
    <t>Lourdhu</t>
  </si>
  <si>
    <t>Manoharan</t>
  </si>
  <si>
    <t>Director and Delivery Head (Large Projects)</t>
  </si>
  <si>
    <t>Richa</t>
  </si>
  <si>
    <t>NXP Semiconductors</t>
  </si>
  <si>
    <t>Team Member - Documentation</t>
  </si>
  <si>
    <t>Mythili</t>
  </si>
  <si>
    <t>Gangadhar âœ”ï¸</t>
  </si>
  <si>
    <t>Solution Engineering Senior Manager - ERP</t>
  </si>
  <si>
    <t>Chilukuri</t>
  </si>
  <si>
    <t>Infotech Enterprises Limited</t>
  </si>
  <si>
    <t>vanisha</t>
  </si>
  <si>
    <t>Sangubhotla</t>
  </si>
  <si>
    <t>Flexsin</t>
  </si>
  <si>
    <t>Sravankumar</t>
  </si>
  <si>
    <t>Quality Lead</t>
  </si>
  <si>
    <t>Senior Design Engineer</t>
  </si>
  <si>
    <t>Muthyala</t>
  </si>
  <si>
    <t>Jomon</t>
  </si>
  <si>
    <t>P Jose</t>
  </si>
  <si>
    <t>ORACLE SOLUTION SERVICES (INDIA) PRIVATE LIMITED</t>
  </si>
  <si>
    <t xml:space="preserve">Senior Manager - Process Excellence and Consulting Security Lead </t>
  </si>
  <si>
    <t>Samrat</t>
  </si>
  <si>
    <t>Bommerla</t>
  </si>
  <si>
    <t>Manager, Interfaces Integration</t>
  </si>
  <si>
    <t>Project Leader - Quality</t>
  </si>
  <si>
    <t>Don</t>
  </si>
  <si>
    <t>SUNITHA</t>
  </si>
  <si>
    <t>Harsco Global Service Centre</t>
  </si>
  <si>
    <t>Associate Manager - IT Governance</t>
  </si>
  <si>
    <t>Anusha</t>
  </si>
  <si>
    <t>Kallam</t>
  </si>
  <si>
    <t>VENUKUMAR</t>
  </si>
  <si>
    <t>ARVAPALLI</t>
  </si>
  <si>
    <t>SK International</t>
  </si>
  <si>
    <t>Senior Manager Operations</t>
  </si>
  <si>
    <t>Urumbath</t>
  </si>
  <si>
    <t>Infor</t>
  </si>
  <si>
    <t>renu prasad</t>
  </si>
  <si>
    <t>bonagiri</t>
  </si>
  <si>
    <t>Sr Software Developer</t>
  </si>
  <si>
    <t>Lead Analyst Quality Assurance</t>
  </si>
  <si>
    <t>Puttachary</t>
  </si>
  <si>
    <t>Rolls-Royce India Pvt. Ltd.</t>
  </si>
  <si>
    <t>Business Manager- Strategic Engineering Outsourcing</t>
  </si>
  <si>
    <t>Rp</t>
  </si>
  <si>
    <t>Free Lance</t>
  </si>
  <si>
    <t>Consultanat  Quality Management Systems</t>
  </si>
  <si>
    <t>Srilakshmi</t>
  </si>
  <si>
    <t>Panathala</t>
  </si>
  <si>
    <t>Trianz</t>
  </si>
  <si>
    <t>Sr. Manager Delivery Assurance</t>
  </si>
  <si>
    <t>Baba</t>
  </si>
  <si>
    <t>Voltamp Transformers Ltd</t>
  </si>
  <si>
    <t>Assistant General Manager</t>
  </si>
  <si>
    <t>keerthi</t>
  </si>
  <si>
    <t>Orkut</t>
  </si>
  <si>
    <t>R K Chaitanya</t>
  </si>
  <si>
    <t>Sr.Quality Assurance Engineer</t>
  </si>
  <si>
    <t>Confidential (Information Technology &amp; Support Services).</t>
  </si>
  <si>
    <t>Senior Database Administrator</t>
  </si>
  <si>
    <t>sarfraz</t>
  </si>
  <si>
    <t>shaik</t>
  </si>
  <si>
    <t>NATPET</t>
  </si>
  <si>
    <t>Bhim</t>
  </si>
  <si>
    <t>Bigfoot Biomedical</t>
  </si>
  <si>
    <t>Sree</t>
  </si>
  <si>
    <t>Kodali</t>
  </si>
  <si>
    <t>Illumina</t>
  </si>
  <si>
    <t>QA Engineer</t>
  </si>
  <si>
    <t>Ande</t>
  </si>
  <si>
    <t>PlayMotion</t>
  </si>
  <si>
    <t>Muhammed Imran</t>
  </si>
  <si>
    <t>Qamar</t>
  </si>
  <si>
    <t>IKEA Group</t>
  </si>
  <si>
    <t>Sales &amp; Supply Support Specialist (Inventory)</t>
  </si>
  <si>
    <t>Ashrith</t>
  </si>
  <si>
    <t>Karru</t>
  </si>
  <si>
    <t>Sr. Lead</t>
  </si>
  <si>
    <t>Vaya Finserv PVt Ltd</t>
  </si>
  <si>
    <t>Manager - Banking Partnership &amp; Insurance</t>
  </si>
  <si>
    <t>Shrivastav</t>
  </si>
  <si>
    <t>Senior Software Engg</t>
  </si>
  <si>
    <t>Liju</t>
  </si>
  <si>
    <t>Raju</t>
  </si>
  <si>
    <t>Akoya Biosciences, Inc.</t>
  </si>
  <si>
    <t>Latha</t>
  </si>
  <si>
    <t>infotech  enterprises pvt ltd</t>
  </si>
  <si>
    <t>BDE</t>
  </si>
  <si>
    <t>Srikrishna</t>
  </si>
  <si>
    <t>Veerapaneni</t>
  </si>
  <si>
    <t>HireRight</t>
  </si>
  <si>
    <t>Sreenidhi</t>
  </si>
  <si>
    <t>Cherku</t>
  </si>
  <si>
    <t>Merkle</t>
  </si>
  <si>
    <t>Lavanya</t>
  </si>
  <si>
    <t>Chebrole</t>
  </si>
  <si>
    <t>Schaeffler Group USA, Inc.</t>
  </si>
  <si>
    <t>Process and Systems Analyst - Purchasing</t>
  </si>
  <si>
    <t>karthik</t>
  </si>
  <si>
    <t>chitta</t>
  </si>
  <si>
    <t>Gopinath</t>
  </si>
  <si>
    <t>Corporate Dealer</t>
  </si>
  <si>
    <t>Jayadeep</t>
  </si>
  <si>
    <t>Macharla</t>
  </si>
  <si>
    <t>Vinay Kumar</t>
  </si>
  <si>
    <t>Uppala</t>
  </si>
  <si>
    <t>infosys</t>
  </si>
  <si>
    <t>Kony Solutions</t>
  </si>
  <si>
    <t>Senior Technical Lead</t>
  </si>
  <si>
    <t>Ramineni</t>
  </si>
  <si>
    <t>Principal Application Engineer</t>
  </si>
  <si>
    <t>Snehal</t>
  </si>
  <si>
    <t>Chennuru</t>
  </si>
  <si>
    <t>Skyhigh Networks</t>
  </si>
  <si>
    <t>RAKESH REDDY</t>
  </si>
  <si>
    <t>INUKONDA</t>
  </si>
  <si>
    <t>Qualys</t>
  </si>
  <si>
    <t>Sama</t>
  </si>
  <si>
    <t>Dimension Data</t>
  </si>
  <si>
    <t>Licensing Specialist</t>
  </si>
  <si>
    <t>Sundar</t>
  </si>
  <si>
    <t>Ganesan</t>
  </si>
  <si>
    <t>Gopi Krishna</t>
  </si>
  <si>
    <t>Oracle India Development Center</t>
  </si>
  <si>
    <t>Sai Prasad</t>
  </si>
  <si>
    <t>Teegala</t>
  </si>
  <si>
    <t>Mandugula</t>
  </si>
  <si>
    <t>Staff Engineer</t>
  </si>
  <si>
    <t>Passi</t>
  </si>
  <si>
    <t>Fusion Practices</t>
  </si>
  <si>
    <t>Finance Transformation Projects</t>
  </si>
  <si>
    <t>Chetan</t>
  </si>
  <si>
    <t>Oceanus Group, LLC</t>
  </si>
  <si>
    <t>Head- sales and recruitment</t>
  </si>
  <si>
    <t>Iqbal</t>
  </si>
  <si>
    <t>Sr. Project Manager-Quality</t>
  </si>
  <si>
    <t>Pullabhatla</t>
  </si>
  <si>
    <t>SAP-SD Consultant</t>
  </si>
  <si>
    <t>Rajasekhar</t>
  </si>
  <si>
    <t>Principal Consultant and Technology Head (Monitoring Tools &amp; Automation)</t>
  </si>
  <si>
    <t>Agile Coach and Trainer</t>
  </si>
  <si>
    <t>Shailaja</t>
  </si>
  <si>
    <t>Narsing</t>
  </si>
  <si>
    <t>Texas A&amp;M University-Kingsville</t>
  </si>
  <si>
    <t>Graduate Research Assistant</t>
  </si>
  <si>
    <t>Ramya</t>
  </si>
  <si>
    <t>Gangishetty</t>
  </si>
  <si>
    <t>Caterpillar Inc.</t>
  </si>
  <si>
    <t>Embedded Software Engineer</t>
  </si>
  <si>
    <t>chander</t>
  </si>
  <si>
    <t>Nikhilesh</t>
  </si>
  <si>
    <t>Gubbala</t>
  </si>
  <si>
    <t>Compass Informatics</t>
  </si>
  <si>
    <t>Ravi kanth reddy</t>
  </si>
  <si>
    <t>IDT - Integrated Device Technology, Inc.</t>
  </si>
  <si>
    <t>Staff algorithm development engineer</t>
  </si>
  <si>
    <t>VINOD</t>
  </si>
  <si>
    <t>PASPUNOORI</t>
  </si>
  <si>
    <t>Independent</t>
  </si>
  <si>
    <t>Principal / Sr. Product Manager / Solution Architect</t>
  </si>
  <si>
    <t>Lead Developer Advisor</t>
  </si>
  <si>
    <t>Raghava</t>
  </si>
  <si>
    <t>empa solution</t>
  </si>
  <si>
    <t>customer support engineer</t>
  </si>
  <si>
    <t>Narendar</t>
  </si>
  <si>
    <t>Standard Bank Group</t>
  </si>
  <si>
    <t>Integration Specialist</t>
  </si>
  <si>
    <t>Rapol</t>
  </si>
  <si>
    <t>Rajkishore</t>
  </si>
  <si>
    <t>Sapient Global Markets</t>
  </si>
  <si>
    <t>Chandana</t>
  </si>
  <si>
    <t>Medithi</t>
  </si>
  <si>
    <t>National Insurance Company Limited</t>
  </si>
  <si>
    <t>Senior Branch Manager</t>
  </si>
  <si>
    <t>Arjun</t>
  </si>
  <si>
    <t>prasad efx</t>
  </si>
  <si>
    <t>digital compositor</t>
  </si>
  <si>
    <t>Laxman</t>
  </si>
  <si>
    <t>Sajjanapu</t>
  </si>
  <si>
    <t>My Home Industries Ltd.</t>
  </si>
  <si>
    <t>Engineer Designs</t>
  </si>
  <si>
    <t>Rashmy</t>
  </si>
  <si>
    <t>Parimi</t>
  </si>
  <si>
    <t>Auris Health, Inc</t>
  </si>
  <si>
    <t>Staff Firmware Engineer</t>
  </si>
  <si>
    <t>Adarsh</t>
  </si>
  <si>
    <t>Chennamaneni</t>
  </si>
  <si>
    <t>Aviso Inc</t>
  </si>
  <si>
    <t>Sharanya</t>
  </si>
  <si>
    <t>L</t>
  </si>
  <si>
    <t>Global Sena</t>
  </si>
  <si>
    <t>Microsoft India Development Center</t>
  </si>
  <si>
    <t>Connection Counts</t>
  </si>
  <si>
    <t>Year</t>
  </si>
  <si>
    <t>Month</t>
  </si>
  <si>
    <t>Lag1</t>
  </si>
  <si>
    <t>Lag2</t>
  </si>
  <si>
    <t>Lag3</t>
  </si>
  <si>
    <t>Lag4</t>
  </si>
  <si>
    <t>Lag5</t>
  </si>
  <si>
    <t>Lag6</t>
  </si>
  <si>
    <t>Lag7</t>
  </si>
  <si>
    <t>Lag8</t>
  </si>
  <si>
    <t>Lag9</t>
  </si>
  <si>
    <t>Lag10</t>
  </si>
  <si>
    <t>Lag11</t>
  </si>
  <si>
    <t>Lag12</t>
  </si>
  <si>
    <t>Lag0</t>
  </si>
  <si>
    <t>Max</t>
  </si>
  <si>
    <t>Min</t>
  </si>
  <si>
    <t>Bins</t>
  </si>
  <si>
    <t>Range</t>
  </si>
  <si>
    <t>Log</t>
  </si>
  <si>
    <t>Eq1</t>
  </si>
  <si>
    <t>RMSE</t>
  </si>
  <si>
    <t>Err1</t>
  </si>
  <si>
    <t>Err2</t>
  </si>
  <si>
    <t>Avg</t>
  </si>
  <si>
    <t>Story of My LinkedIn Connections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</si>
</sst>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top" wrapText="1"/>
    </xf>
    <xf numFmtId="15" fontId="1" fillId="3" borderId="1" xfId="0" applyNumberFormat="1" applyFont="1" applyFill="1" applyBorder="1" applyAlignment="1">
      <alignment horizontal="left" vertical="top" wrapText="1"/>
    </xf>
    <xf numFmtId="0" fontId="1" fillId="3" borderId="0" xfId="0" applyFont="1" applyFill="1" applyAlignment="1">
      <alignment horizontal="left" vertical="top" wrapText="1"/>
    </xf>
    <xf numFmtId="0" fontId="0" fillId="3" borderId="0" xfId="0" applyFill="1"/>
    <xf numFmtId="0" fontId="2" fillId="3" borderId="0" xfId="0" applyFont="1" applyFill="1"/>
    <xf numFmtId="0" fontId="2" fillId="3" borderId="1" xfId="0" applyFont="1" applyFill="1" applyBorder="1"/>
    <xf numFmtId="0" fontId="0" fillId="3" borderId="1" xfId="0" applyFill="1" applyBorder="1"/>
    <xf numFmtId="1" fontId="0" fillId="3" borderId="1" xfId="0" applyNumberFormat="1" applyFill="1" applyBorder="1"/>
    <xf numFmtId="2" fontId="2" fillId="3" borderId="0" xfId="0" applyNumberFormat="1" applyFont="1" applyFill="1"/>
    <xf numFmtId="164" fontId="2" fillId="3" borderId="1" xfId="0" applyNumberFormat="1" applyFont="1" applyFill="1" applyBorder="1"/>
    <xf numFmtId="2" fontId="0" fillId="3" borderId="1" xfId="0" applyNumberFormat="1" applyFill="1" applyBorder="1"/>
    <xf numFmtId="1" fontId="2" fillId="3" borderId="1" xfId="0" applyNumberFormat="1" applyFont="1" applyFill="1" applyBorder="1"/>
    <xf numFmtId="0" fontId="2" fillId="4" borderId="1" xfId="0" applyFont="1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1" fontId="0" fillId="3" borderId="7" xfId="0" applyNumberFormat="1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Sheet3!$D$1</c:f>
              <c:strCache>
                <c:ptCount val="1"/>
                <c:pt idx="0">
                  <c:v>Lag0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C00000"/>
                </a:solidFill>
                <a:prstDash val="dash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3.953148097867077E-2"/>
                  <c:y val="-2.2983605310205789E-2"/>
                </c:manualLayout>
              </c:layout>
              <c:numFmt formatCode="General" sourceLinked="0"/>
              <c:spPr>
                <a:solidFill>
                  <a:schemeClr val="accent2">
                    <a:lumMod val="50000"/>
                  </a:schemeClr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Sheet3!$C$2:$C$118</c:f>
              <c:strCache>
                <c:ptCount val="117"/>
                <c:pt idx="0">
                  <c:v>2009-12</c:v>
                </c:pt>
                <c:pt idx="1">
                  <c:v>2010-1</c:v>
                </c:pt>
                <c:pt idx="2">
                  <c:v>2010-2</c:v>
                </c:pt>
                <c:pt idx="3">
                  <c:v>2010-3</c:v>
                </c:pt>
                <c:pt idx="4">
                  <c:v>2010-4</c:v>
                </c:pt>
                <c:pt idx="5">
                  <c:v>2010-5</c:v>
                </c:pt>
                <c:pt idx="6">
                  <c:v>2010-6</c:v>
                </c:pt>
                <c:pt idx="7">
                  <c:v>2010-7</c:v>
                </c:pt>
                <c:pt idx="8">
                  <c:v>2010-8</c:v>
                </c:pt>
                <c:pt idx="9">
                  <c:v>2010-9</c:v>
                </c:pt>
                <c:pt idx="10">
                  <c:v>2010-10</c:v>
                </c:pt>
                <c:pt idx="11">
                  <c:v>2010-11</c:v>
                </c:pt>
                <c:pt idx="12">
                  <c:v>2010-12</c:v>
                </c:pt>
                <c:pt idx="13">
                  <c:v>2011-1</c:v>
                </c:pt>
                <c:pt idx="14">
                  <c:v>2011-2</c:v>
                </c:pt>
                <c:pt idx="15">
                  <c:v>2011-3</c:v>
                </c:pt>
                <c:pt idx="16">
                  <c:v>2011-4</c:v>
                </c:pt>
                <c:pt idx="17">
                  <c:v>2011-5</c:v>
                </c:pt>
                <c:pt idx="18">
                  <c:v>2011-6</c:v>
                </c:pt>
                <c:pt idx="19">
                  <c:v>2011-7</c:v>
                </c:pt>
                <c:pt idx="20">
                  <c:v>2011-8</c:v>
                </c:pt>
                <c:pt idx="21">
                  <c:v>2011-9</c:v>
                </c:pt>
                <c:pt idx="22">
                  <c:v>2011-10</c:v>
                </c:pt>
                <c:pt idx="23">
                  <c:v>2011-11</c:v>
                </c:pt>
                <c:pt idx="24">
                  <c:v>2011-12</c:v>
                </c:pt>
                <c:pt idx="25">
                  <c:v>2012-1</c:v>
                </c:pt>
                <c:pt idx="26">
                  <c:v>2012-2</c:v>
                </c:pt>
                <c:pt idx="27">
                  <c:v>2012-3</c:v>
                </c:pt>
                <c:pt idx="28">
                  <c:v>2012-4</c:v>
                </c:pt>
                <c:pt idx="29">
                  <c:v>2012-5</c:v>
                </c:pt>
                <c:pt idx="30">
                  <c:v>2012-6</c:v>
                </c:pt>
                <c:pt idx="31">
                  <c:v>2012-7</c:v>
                </c:pt>
                <c:pt idx="32">
                  <c:v>2012-8</c:v>
                </c:pt>
                <c:pt idx="33">
                  <c:v>2012-9</c:v>
                </c:pt>
                <c:pt idx="34">
                  <c:v>2012-10</c:v>
                </c:pt>
                <c:pt idx="35">
                  <c:v>2012-11</c:v>
                </c:pt>
                <c:pt idx="36">
                  <c:v>2012-12</c:v>
                </c:pt>
                <c:pt idx="37">
                  <c:v>2013-1</c:v>
                </c:pt>
                <c:pt idx="38">
                  <c:v>2013-2</c:v>
                </c:pt>
                <c:pt idx="39">
                  <c:v>2013-3</c:v>
                </c:pt>
                <c:pt idx="40">
                  <c:v>2013-4</c:v>
                </c:pt>
                <c:pt idx="41">
                  <c:v>2013-5</c:v>
                </c:pt>
                <c:pt idx="42">
                  <c:v>2013-6</c:v>
                </c:pt>
                <c:pt idx="43">
                  <c:v>2013-7</c:v>
                </c:pt>
                <c:pt idx="44">
                  <c:v>2013-8</c:v>
                </c:pt>
                <c:pt idx="45">
                  <c:v>2013-9</c:v>
                </c:pt>
                <c:pt idx="46">
                  <c:v>2013-10</c:v>
                </c:pt>
                <c:pt idx="47">
                  <c:v>2013-11</c:v>
                </c:pt>
                <c:pt idx="48">
                  <c:v>2013-12</c:v>
                </c:pt>
                <c:pt idx="49">
                  <c:v>2014-1</c:v>
                </c:pt>
                <c:pt idx="50">
                  <c:v>2014-2</c:v>
                </c:pt>
                <c:pt idx="51">
                  <c:v>2014-3</c:v>
                </c:pt>
                <c:pt idx="52">
                  <c:v>2014-4</c:v>
                </c:pt>
                <c:pt idx="53">
                  <c:v>2014-5</c:v>
                </c:pt>
                <c:pt idx="54">
                  <c:v>2014-6</c:v>
                </c:pt>
                <c:pt idx="55">
                  <c:v>2014-7</c:v>
                </c:pt>
                <c:pt idx="56">
                  <c:v>2014-8</c:v>
                </c:pt>
                <c:pt idx="57">
                  <c:v>2014-9</c:v>
                </c:pt>
                <c:pt idx="58">
                  <c:v>2014-10</c:v>
                </c:pt>
                <c:pt idx="59">
                  <c:v>2014-11</c:v>
                </c:pt>
                <c:pt idx="60">
                  <c:v>2014-12</c:v>
                </c:pt>
                <c:pt idx="61">
                  <c:v>2015-1</c:v>
                </c:pt>
                <c:pt idx="62">
                  <c:v>2015-2</c:v>
                </c:pt>
                <c:pt idx="63">
                  <c:v>2015-3</c:v>
                </c:pt>
                <c:pt idx="64">
                  <c:v>2015-4</c:v>
                </c:pt>
                <c:pt idx="65">
                  <c:v>2015-5</c:v>
                </c:pt>
                <c:pt idx="66">
                  <c:v>2015-6</c:v>
                </c:pt>
                <c:pt idx="67">
                  <c:v>2015-7</c:v>
                </c:pt>
                <c:pt idx="68">
                  <c:v>2015-8</c:v>
                </c:pt>
                <c:pt idx="69">
                  <c:v>2015-9</c:v>
                </c:pt>
                <c:pt idx="70">
                  <c:v>2015-10</c:v>
                </c:pt>
                <c:pt idx="71">
                  <c:v>2015-11</c:v>
                </c:pt>
                <c:pt idx="72">
                  <c:v>2015-12</c:v>
                </c:pt>
                <c:pt idx="73">
                  <c:v>2016-1</c:v>
                </c:pt>
                <c:pt idx="74">
                  <c:v>2016-2</c:v>
                </c:pt>
                <c:pt idx="75">
                  <c:v>2016-3</c:v>
                </c:pt>
                <c:pt idx="76">
                  <c:v>2016-4</c:v>
                </c:pt>
                <c:pt idx="77">
                  <c:v>2016-5</c:v>
                </c:pt>
                <c:pt idx="78">
                  <c:v>2016-6</c:v>
                </c:pt>
                <c:pt idx="79">
                  <c:v>2016-7</c:v>
                </c:pt>
                <c:pt idx="80">
                  <c:v>2016-8</c:v>
                </c:pt>
                <c:pt idx="81">
                  <c:v>2016-9</c:v>
                </c:pt>
                <c:pt idx="82">
                  <c:v>2016-10</c:v>
                </c:pt>
                <c:pt idx="83">
                  <c:v>2016-11</c:v>
                </c:pt>
                <c:pt idx="84">
                  <c:v>2016-12</c:v>
                </c:pt>
                <c:pt idx="85">
                  <c:v>2017-1</c:v>
                </c:pt>
                <c:pt idx="86">
                  <c:v>2017-2</c:v>
                </c:pt>
                <c:pt idx="87">
                  <c:v>2017-3</c:v>
                </c:pt>
                <c:pt idx="88">
                  <c:v>2017-4</c:v>
                </c:pt>
                <c:pt idx="89">
                  <c:v>2017-5</c:v>
                </c:pt>
                <c:pt idx="90">
                  <c:v>2017-6</c:v>
                </c:pt>
                <c:pt idx="91">
                  <c:v>2017-7</c:v>
                </c:pt>
                <c:pt idx="92">
                  <c:v>2017-8</c:v>
                </c:pt>
                <c:pt idx="93">
                  <c:v>2017-9</c:v>
                </c:pt>
                <c:pt idx="94">
                  <c:v>2017-10</c:v>
                </c:pt>
                <c:pt idx="95">
                  <c:v>2017-11</c:v>
                </c:pt>
                <c:pt idx="96">
                  <c:v>2017-12</c:v>
                </c:pt>
                <c:pt idx="97">
                  <c:v>2018-1</c:v>
                </c:pt>
                <c:pt idx="98">
                  <c:v>2018-2</c:v>
                </c:pt>
                <c:pt idx="99">
                  <c:v>2018-3</c:v>
                </c:pt>
                <c:pt idx="100">
                  <c:v>2018-4</c:v>
                </c:pt>
                <c:pt idx="101">
                  <c:v>2018-5</c:v>
                </c:pt>
                <c:pt idx="102">
                  <c:v>2018-6</c:v>
                </c:pt>
                <c:pt idx="103">
                  <c:v>2018-7</c:v>
                </c:pt>
                <c:pt idx="104">
                  <c:v>2018-8</c:v>
                </c:pt>
                <c:pt idx="105">
                  <c:v>2018-9</c:v>
                </c:pt>
                <c:pt idx="106">
                  <c:v>2018-10</c:v>
                </c:pt>
                <c:pt idx="107">
                  <c:v>2018-11</c:v>
                </c:pt>
                <c:pt idx="108">
                  <c:v>2018-12</c:v>
                </c:pt>
                <c:pt idx="109">
                  <c:v>2019-1</c:v>
                </c:pt>
                <c:pt idx="110">
                  <c:v>2019-2</c:v>
                </c:pt>
                <c:pt idx="111">
                  <c:v>2019-3</c:v>
                </c:pt>
                <c:pt idx="112">
                  <c:v>2019-4</c:v>
                </c:pt>
                <c:pt idx="113">
                  <c:v>2019-5</c:v>
                </c:pt>
                <c:pt idx="114">
                  <c:v>2019-6</c:v>
                </c:pt>
                <c:pt idx="115">
                  <c:v>2019-7</c:v>
                </c:pt>
                <c:pt idx="116">
                  <c:v>2019-8</c:v>
                </c:pt>
              </c:strCache>
            </c:strRef>
          </c:cat>
          <c:val>
            <c:numRef>
              <c:f>Sheet3!$D$2:$D$118</c:f>
              <c:numCache>
                <c:formatCode>General</c:formatCode>
                <c:ptCount val="117"/>
                <c:pt idx="0">
                  <c:v>23</c:v>
                </c:pt>
                <c:pt idx="1">
                  <c:v>14</c:v>
                </c:pt>
                <c:pt idx="2">
                  <c:v>5</c:v>
                </c:pt>
                <c:pt idx="3">
                  <c:v>21</c:v>
                </c:pt>
                <c:pt idx="4">
                  <c:v>23</c:v>
                </c:pt>
                <c:pt idx="5">
                  <c:v>18</c:v>
                </c:pt>
                <c:pt idx="6">
                  <c:v>6</c:v>
                </c:pt>
                <c:pt idx="7">
                  <c:v>14</c:v>
                </c:pt>
                <c:pt idx="8">
                  <c:v>9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3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5</c:v>
                </c:pt>
                <c:pt idx="21">
                  <c:v>7</c:v>
                </c:pt>
                <c:pt idx="22">
                  <c:v>1</c:v>
                </c:pt>
                <c:pt idx="23">
                  <c:v>4</c:v>
                </c:pt>
                <c:pt idx="24">
                  <c:v>2</c:v>
                </c:pt>
                <c:pt idx="25">
                  <c:v>3</c:v>
                </c:pt>
                <c:pt idx="26">
                  <c:v>2</c:v>
                </c:pt>
                <c:pt idx="27">
                  <c:v>7</c:v>
                </c:pt>
                <c:pt idx="28">
                  <c:v>5</c:v>
                </c:pt>
                <c:pt idx="29">
                  <c:v>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3</c:v>
                </c:pt>
                <c:pt idx="40">
                  <c:v>7</c:v>
                </c:pt>
                <c:pt idx="41">
                  <c:v>2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7</c:v>
                </c:pt>
                <c:pt idx="46">
                  <c:v>3</c:v>
                </c:pt>
                <c:pt idx="47">
                  <c:v>4</c:v>
                </c:pt>
                <c:pt idx="48">
                  <c:v>12</c:v>
                </c:pt>
                <c:pt idx="49">
                  <c:v>5</c:v>
                </c:pt>
                <c:pt idx="50">
                  <c:v>4</c:v>
                </c:pt>
                <c:pt idx="51">
                  <c:v>6</c:v>
                </c:pt>
                <c:pt idx="52">
                  <c:v>1</c:v>
                </c:pt>
                <c:pt idx="53">
                  <c:v>4</c:v>
                </c:pt>
                <c:pt idx="54">
                  <c:v>1</c:v>
                </c:pt>
                <c:pt idx="55">
                  <c:v>1</c:v>
                </c:pt>
                <c:pt idx="56">
                  <c:v>5</c:v>
                </c:pt>
                <c:pt idx="57">
                  <c:v>3</c:v>
                </c:pt>
                <c:pt idx="58">
                  <c:v>1</c:v>
                </c:pt>
                <c:pt idx="59">
                  <c:v>0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3</c:v>
                </c:pt>
                <c:pt idx="65">
                  <c:v>0</c:v>
                </c:pt>
                <c:pt idx="66">
                  <c:v>4</c:v>
                </c:pt>
                <c:pt idx="67">
                  <c:v>36</c:v>
                </c:pt>
                <c:pt idx="68">
                  <c:v>46</c:v>
                </c:pt>
                <c:pt idx="69">
                  <c:v>11</c:v>
                </c:pt>
                <c:pt idx="70">
                  <c:v>70</c:v>
                </c:pt>
                <c:pt idx="71">
                  <c:v>54</c:v>
                </c:pt>
                <c:pt idx="72">
                  <c:v>15</c:v>
                </c:pt>
                <c:pt idx="73">
                  <c:v>16</c:v>
                </c:pt>
                <c:pt idx="74">
                  <c:v>25</c:v>
                </c:pt>
                <c:pt idx="75">
                  <c:v>13</c:v>
                </c:pt>
                <c:pt idx="76">
                  <c:v>9</c:v>
                </c:pt>
                <c:pt idx="77">
                  <c:v>12</c:v>
                </c:pt>
                <c:pt idx="78">
                  <c:v>7</c:v>
                </c:pt>
                <c:pt idx="79">
                  <c:v>10</c:v>
                </c:pt>
                <c:pt idx="80">
                  <c:v>7</c:v>
                </c:pt>
                <c:pt idx="81">
                  <c:v>7</c:v>
                </c:pt>
                <c:pt idx="82">
                  <c:v>20</c:v>
                </c:pt>
                <c:pt idx="83">
                  <c:v>15</c:v>
                </c:pt>
                <c:pt idx="84">
                  <c:v>9</c:v>
                </c:pt>
                <c:pt idx="85">
                  <c:v>6</c:v>
                </c:pt>
                <c:pt idx="86">
                  <c:v>3</c:v>
                </c:pt>
                <c:pt idx="87">
                  <c:v>0</c:v>
                </c:pt>
                <c:pt idx="88">
                  <c:v>2</c:v>
                </c:pt>
                <c:pt idx="89">
                  <c:v>5</c:v>
                </c:pt>
                <c:pt idx="90">
                  <c:v>33</c:v>
                </c:pt>
                <c:pt idx="91">
                  <c:v>4</c:v>
                </c:pt>
                <c:pt idx="92">
                  <c:v>0</c:v>
                </c:pt>
                <c:pt idx="93">
                  <c:v>3</c:v>
                </c:pt>
                <c:pt idx="94">
                  <c:v>7</c:v>
                </c:pt>
                <c:pt idx="95">
                  <c:v>2</c:v>
                </c:pt>
                <c:pt idx="96">
                  <c:v>4</c:v>
                </c:pt>
                <c:pt idx="97">
                  <c:v>9</c:v>
                </c:pt>
                <c:pt idx="98">
                  <c:v>49</c:v>
                </c:pt>
                <c:pt idx="99">
                  <c:v>20</c:v>
                </c:pt>
                <c:pt idx="100">
                  <c:v>10</c:v>
                </c:pt>
                <c:pt idx="101">
                  <c:v>27</c:v>
                </c:pt>
                <c:pt idx="102">
                  <c:v>33</c:v>
                </c:pt>
                <c:pt idx="103">
                  <c:v>26</c:v>
                </c:pt>
                <c:pt idx="104">
                  <c:v>47</c:v>
                </c:pt>
                <c:pt idx="105">
                  <c:v>61</c:v>
                </c:pt>
                <c:pt idx="106">
                  <c:v>37</c:v>
                </c:pt>
                <c:pt idx="107">
                  <c:v>49</c:v>
                </c:pt>
                <c:pt idx="108">
                  <c:v>74</c:v>
                </c:pt>
                <c:pt idx="109">
                  <c:v>69</c:v>
                </c:pt>
                <c:pt idx="110">
                  <c:v>27</c:v>
                </c:pt>
                <c:pt idx="111">
                  <c:v>32</c:v>
                </c:pt>
                <c:pt idx="112">
                  <c:v>41</c:v>
                </c:pt>
                <c:pt idx="113">
                  <c:v>44</c:v>
                </c:pt>
                <c:pt idx="114">
                  <c:v>30</c:v>
                </c:pt>
                <c:pt idx="115">
                  <c:v>63</c:v>
                </c:pt>
                <c:pt idx="116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34-4A07-8B8C-D98170A3E61F}"/>
            </c:ext>
          </c:extLst>
        </c:ser>
        <c:ser>
          <c:idx val="1"/>
          <c:order val="1"/>
          <c:tx>
            <c:v>Average</c:v>
          </c:tx>
          <c:spPr>
            <a:ln w="22225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0"/>
              <c:layout>
                <c:manualLayout>
                  <c:x val="1.915708812260396E-3"/>
                  <c:y val="-4.6376811594202899E-2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34-4A07-8B8C-D98170A3E6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Sheet3!$AN$2:$AN$118</c:f>
              <c:numCache>
                <c:formatCode>0</c:formatCode>
                <c:ptCount val="117"/>
                <c:pt idx="0">
                  <c:v>14.495238095238095</c:v>
                </c:pt>
                <c:pt idx="1">
                  <c:v>14.495238095238095</c:v>
                </c:pt>
                <c:pt idx="2">
                  <c:v>14.495238095238095</c:v>
                </c:pt>
                <c:pt idx="3">
                  <c:v>14.495238095238095</c:v>
                </c:pt>
                <c:pt idx="4">
                  <c:v>14.495238095238095</c:v>
                </c:pt>
                <c:pt idx="5">
                  <c:v>14.495238095238095</c:v>
                </c:pt>
                <c:pt idx="6">
                  <c:v>14.495238095238095</c:v>
                </c:pt>
                <c:pt idx="7">
                  <c:v>14.495238095238095</c:v>
                </c:pt>
                <c:pt idx="8">
                  <c:v>14.495238095238095</c:v>
                </c:pt>
                <c:pt idx="9">
                  <c:v>14.495238095238095</c:v>
                </c:pt>
                <c:pt idx="10">
                  <c:v>14.495238095238095</c:v>
                </c:pt>
                <c:pt idx="11">
                  <c:v>14.495238095238095</c:v>
                </c:pt>
                <c:pt idx="12">
                  <c:v>14.495238095238095</c:v>
                </c:pt>
                <c:pt idx="13">
                  <c:v>14.495238095238095</c:v>
                </c:pt>
                <c:pt idx="14">
                  <c:v>14.495238095238095</c:v>
                </c:pt>
                <c:pt idx="15">
                  <c:v>14.495238095238095</c:v>
                </c:pt>
                <c:pt idx="16">
                  <c:v>14.495238095238095</c:v>
                </c:pt>
                <c:pt idx="17">
                  <c:v>14.495238095238095</c:v>
                </c:pt>
                <c:pt idx="18">
                  <c:v>14.495238095238095</c:v>
                </c:pt>
                <c:pt idx="19">
                  <c:v>14.495238095238095</c:v>
                </c:pt>
                <c:pt idx="20">
                  <c:v>14.495238095238095</c:v>
                </c:pt>
                <c:pt idx="21">
                  <c:v>14.495238095238095</c:v>
                </c:pt>
                <c:pt idx="22">
                  <c:v>14.495238095238095</c:v>
                </c:pt>
                <c:pt idx="23">
                  <c:v>14.495238095238095</c:v>
                </c:pt>
                <c:pt idx="24">
                  <c:v>14.495238095238095</c:v>
                </c:pt>
                <c:pt idx="25">
                  <c:v>14.495238095238095</c:v>
                </c:pt>
                <c:pt idx="26">
                  <c:v>14.495238095238095</c:v>
                </c:pt>
                <c:pt idx="27">
                  <c:v>14.495238095238095</c:v>
                </c:pt>
                <c:pt idx="28">
                  <c:v>14.495238095238095</c:v>
                </c:pt>
                <c:pt idx="29">
                  <c:v>14.495238095238095</c:v>
                </c:pt>
                <c:pt idx="30">
                  <c:v>14.495238095238095</c:v>
                </c:pt>
                <c:pt idx="31">
                  <c:v>14.495238095238095</c:v>
                </c:pt>
                <c:pt idx="32">
                  <c:v>14.495238095238095</c:v>
                </c:pt>
                <c:pt idx="33">
                  <c:v>14.495238095238095</c:v>
                </c:pt>
                <c:pt idx="34">
                  <c:v>14.495238095238095</c:v>
                </c:pt>
                <c:pt idx="35">
                  <c:v>14.495238095238095</c:v>
                </c:pt>
                <c:pt idx="36">
                  <c:v>14.495238095238095</c:v>
                </c:pt>
                <c:pt idx="37">
                  <c:v>14.495238095238095</c:v>
                </c:pt>
                <c:pt idx="38">
                  <c:v>14.495238095238095</c:v>
                </c:pt>
                <c:pt idx="39">
                  <c:v>14.495238095238095</c:v>
                </c:pt>
                <c:pt idx="40">
                  <c:v>14.495238095238095</c:v>
                </c:pt>
                <c:pt idx="41">
                  <c:v>14.495238095238095</c:v>
                </c:pt>
                <c:pt idx="42">
                  <c:v>14.495238095238095</c:v>
                </c:pt>
                <c:pt idx="43">
                  <c:v>14.495238095238095</c:v>
                </c:pt>
                <c:pt idx="44">
                  <c:v>14.495238095238095</c:v>
                </c:pt>
                <c:pt idx="45">
                  <c:v>14.495238095238095</c:v>
                </c:pt>
                <c:pt idx="46">
                  <c:v>14.495238095238095</c:v>
                </c:pt>
                <c:pt idx="47">
                  <c:v>14.495238095238095</c:v>
                </c:pt>
                <c:pt idx="48">
                  <c:v>14.495238095238095</c:v>
                </c:pt>
                <c:pt idx="49">
                  <c:v>14.495238095238095</c:v>
                </c:pt>
                <c:pt idx="50">
                  <c:v>14.495238095238095</c:v>
                </c:pt>
                <c:pt idx="51">
                  <c:v>14.495238095238095</c:v>
                </c:pt>
                <c:pt idx="52">
                  <c:v>14.495238095238095</c:v>
                </c:pt>
                <c:pt idx="53">
                  <c:v>14.495238095238095</c:v>
                </c:pt>
                <c:pt idx="54">
                  <c:v>14.495238095238095</c:v>
                </c:pt>
                <c:pt idx="55">
                  <c:v>14.495238095238095</c:v>
                </c:pt>
                <c:pt idx="56">
                  <c:v>14.495238095238095</c:v>
                </c:pt>
                <c:pt idx="57">
                  <c:v>14.495238095238095</c:v>
                </c:pt>
                <c:pt idx="58">
                  <c:v>14.495238095238095</c:v>
                </c:pt>
                <c:pt idx="59">
                  <c:v>14.495238095238095</c:v>
                </c:pt>
                <c:pt idx="60">
                  <c:v>14.495238095238095</c:v>
                </c:pt>
                <c:pt idx="61">
                  <c:v>14.495238095238095</c:v>
                </c:pt>
                <c:pt idx="62">
                  <c:v>14.495238095238095</c:v>
                </c:pt>
                <c:pt idx="63">
                  <c:v>14.495238095238095</c:v>
                </c:pt>
                <c:pt idx="64">
                  <c:v>14.495238095238095</c:v>
                </c:pt>
                <c:pt idx="65">
                  <c:v>14.495238095238095</c:v>
                </c:pt>
                <c:pt idx="66">
                  <c:v>14.495238095238095</c:v>
                </c:pt>
                <c:pt idx="67">
                  <c:v>14.495238095238095</c:v>
                </c:pt>
                <c:pt idx="68">
                  <c:v>14.495238095238095</c:v>
                </c:pt>
                <c:pt idx="69">
                  <c:v>14.495238095238095</c:v>
                </c:pt>
                <c:pt idx="70">
                  <c:v>14.495238095238095</c:v>
                </c:pt>
                <c:pt idx="71">
                  <c:v>14.495238095238095</c:v>
                </c:pt>
                <c:pt idx="72">
                  <c:v>14.495238095238095</c:v>
                </c:pt>
                <c:pt idx="73">
                  <c:v>14.495238095238095</c:v>
                </c:pt>
                <c:pt idx="74">
                  <c:v>14.495238095238095</c:v>
                </c:pt>
                <c:pt idx="75">
                  <c:v>14.495238095238095</c:v>
                </c:pt>
                <c:pt idx="76">
                  <c:v>14.495238095238095</c:v>
                </c:pt>
                <c:pt idx="77">
                  <c:v>14.495238095238095</c:v>
                </c:pt>
                <c:pt idx="78">
                  <c:v>14.495238095238095</c:v>
                </c:pt>
                <c:pt idx="79">
                  <c:v>14.495238095238095</c:v>
                </c:pt>
                <c:pt idx="80">
                  <c:v>14.495238095238095</c:v>
                </c:pt>
                <c:pt idx="81">
                  <c:v>14.495238095238095</c:v>
                </c:pt>
                <c:pt idx="82">
                  <c:v>14.495238095238095</c:v>
                </c:pt>
                <c:pt idx="83">
                  <c:v>14.495238095238095</c:v>
                </c:pt>
                <c:pt idx="84">
                  <c:v>14.495238095238095</c:v>
                </c:pt>
                <c:pt idx="85">
                  <c:v>14.495238095238095</c:v>
                </c:pt>
                <c:pt idx="86">
                  <c:v>14.495238095238095</c:v>
                </c:pt>
                <c:pt idx="87">
                  <c:v>14.495238095238095</c:v>
                </c:pt>
                <c:pt idx="88">
                  <c:v>14.495238095238095</c:v>
                </c:pt>
                <c:pt idx="89">
                  <c:v>14.495238095238095</c:v>
                </c:pt>
                <c:pt idx="90">
                  <c:v>14.495238095238095</c:v>
                </c:pt>
                <c:pt idx="91">
                  <c:v>14.495238095238095</c:v>
                </c:pt>
                <c:pt idx="92">
                  <c:v>14.495238095238095</c:v>
                </c:pt>
                <c:pt idx="93">
                  <c:v>14.495238095238095</c:v>
                </c:pt>
                <c:pt idx="94">
                  <c:v>14.495238095238095</c:v>
                </c:pt>
                <c:pt idx="95">
                  <c:v>14.495238095238095</c:v>
                </c:pt>
                <c:pt idx="96">
                  <c:v>14.495238095238095</c:v>
                </c:pt>
                <c:pt idx="97">
                  <c:v>14.495238095238095</c:v>
                </c:pt>
                <c:pt idx="98">
                  <c:v>14.495238095238095</c:v>
                </c:pt>
                <c:pt idx="99">
                  <c:v>14.495238095238095</c:v>
                </c:pt>
                <c:pt idx="100">
                  <c:v>14.495238095238095</c:v>
                </c:pt>
                <c:pt idx="101">
                  <c:v>14.495238095238095</c:v>
                </c:pt>
                <c:pt idx="102">
                  <c:v>14.495238095238095</c:v>
                </c:pt>
                <c:pt idx="103">
                  <c:v>14.495238095238095</c:v>
                </c:pt>
                <c:pt idx="104">
                  <c:v>14.495238095238095</c:v>
                </c:pt>
                <c:pt idx="105">
                  <c:v>14.495238095238095</c:v>
                </c:pt>
                <c:pt idx="106">
                  <c:v>14.495238095238095</c:v>
                </c:pt>
                <c:pt idx="107">
                  <c:v>14.495238095238095</c:v>
                </c:pt>
                <c:pt idx="108">
                  <c:v>14.495238095238095</c:v>
                </c:pt>
                <c:pt idx="109">
                  <c:v>14.495238095238095</c:v>
                </c:pt>
                <c:pt idx="110">
                  <c:v>14.495238095238095</c:v>
                </c:pt>
                <c:pt idx="111">
                  <c:v>14.495238095238095</c:v>
                </c:pt>
                <c:pt idx="112">
                  <c:v>14.495238095238095</c:v>
                </c:pt>
                <c:pt idx="113">
                  <c:v>14.495238095238095</c:v>
                </c:pt>
                <c:pt idx="114">
                  <c:v>14.495238095238095</c:v>
                </c:pt>
                <c:pt idx="115">
                  <c:v>14.495238095238095</c:v>
                </c:pt>
                <c:pt idx="116">
                  <c:v>14.495238095238095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34-4A07-8B8C-D98170A3E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974304"/>
        <c:axId val="505974960"/>
      </c:lineChart>
      <c:catAx>
        <c:axId val="50597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74960"/>
        <c:crosses val="autoZero"/>
        <c:auto val="1"/>
        <c:lblAlgn val="ctr"/>
        <c:lblOffset val="100"/>
        <c:noMultiLvlLbl val="0"/>
      </c:catAx>
      <c:valAx>
        <c:axId val="5059749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743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Auto Correlation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29F-494A-A5D5-9B5ED19FF2FE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29F-494A-A5D5-9B5ED19FF2F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29F-494A-A5D5-9B5ED19FF2FE}"/>
              </c:ext>
            </c:extLst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29F-494A-A5D5-9B5ED19FF2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Sheet3!$D$1:$P$1</c:f>
              <c:strCache>
                <c:ptCount val="13"/>
                <c:pt idx="0">
                  <c:v>Lag0</c:v>
                </c:pt>
                <c:pt idx="1">
                  <c:v>Lag1</c:v>
                </c:pt>
                <c:pt idx="2">
                  <c:v>Lag2</c:v>
                </c:pt>
                <c:pt idx="3">
                  <c:v>Lag3</c:v>
                </c:pt>
                <c:pt idx="4">
                  <c:v>Lag4</c:v>
                </c:pt>
                <c:pt idx="5">
                  <c:v>Lag5</c:v>
                </c:pt>
                <c:pt idx="6">
                  <c:v>Lag6</c:v>
                </c:pt>
                <c:pt idx="7">
                  <c:v>Lag7</c:v>
                </c:pt>
                <c:pt idx="8">
                  <c:v>Lag8</c:v>
                </c:pt>
                <c:pt idx="9">
                  <c:v>Lag9</c:v>
                </c:pt>
                <c:pt idx="10">
                  <c:v>Lag10</c:v>
                </c:pt>
                <c:pt idx="11">
                  <c:v>Lag11</c:v>
                </c:pt>
                <c:pt idx="12">
                  <c:v>Lag12</c:v>
                </c:pt>
              </c:strCache>
            </c:strRef>
          </c:cat>
          <c:val>
            <c:numRef>
              <c:f>Sheet3!$Q$1:$AC$1</c:f>
              <c:numCache>
                <c:formatCode>General</c:formatCode>
                <c:ptCount val="13"/>
                <c:pt idx="0">
                  <c:v>1.0000000000000002</c:v>
                </c:pt>
                <c:pt idx="1">
                  <c:v>0.71</c:v>
                </c:pt>
                <c:pt idx="2">
                  <c:v>0.59199999999999997</c:v>
                </c:pt>
                <c:pt idx="3">
                  <c:v>0.66700000000000004</c:v>
                </c:pt>
                <c:pt idx="4">
                  <c:v>0.59899999999999998</c:v>
                </c:pt>
                <c:pt idx="5">
                  <c:v>0.42299999999999999</c:v>
                </c:pt>
                <c:pt idx="6">
                  <c:v>0.44600000000000001</c:v>
                </c:pt>
                <c:pt idx="7">
                  <c:v>0.45400000000000001</c:v>
                </c:pt>
                <c:pt idx="8">
                  <c:v>0.371</c:v>
                </c:pt>
                <c:pt idx="9">
                  <c:v>0.26600000000000001</c:v>
                </c:pt>
                <c:pt idx="10">
                  <c:v>0.27600000000000002</c:v>
                </c:pt>
                <c:pt idx="11">
                  <c:v>0.252</c:v>
                </c:pt>
                <c:pt idx="12">
                  <c:v>0.122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F-494A-A5D5-9B5ED19FF2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1"/>
        <c:overlap val="-43"/>
        <c:axId val="494609360"/>
        <c:axId val="494611328"/>
      </c:barChart>
      <c:catAx>
        <c:axId val="49460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11328"/>
        <c:crosses val="autoZero"/>
        <c:auto val="1"/>
        <c:lblAlgn val="ctr"/>
        <c:lblOffset val="100"/>
        <c:noMultiLvlLbl val="0"/>
      </c:catAx>
      <c:valAx>
        <c:axId val="4946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093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Sheet4!$D$21:$D$31</c:f>
              <c:strCache>
                <c:ptCount val="11"/>
                <c:pt idx="0">
                  <c:v>0-6</c:v>
                </c:pt>
                <c:pt idx="1">
                  <c:v>7-14</c:v>
                </c:pt>
                <c:pt idx="2">
                  <c:v>15-21</c:v>
                </c:pt>
                <c:pt idx="3">
                  <c:v>22-29</c:v>
                </c:pt>
                <c:pt idx="4">
                  <c:v>30-36</c:v>
                </c:pt>
                <c:pt idx="5">
                  <c:v>37-43</c:v>
                </c:pt>
                <c:pt idx="6">
                  <c:v>44-51</c:v>
                </c:pt>
                <c:pt idx="7">
                  <c:v>52-58</c:v>
                </c:pt>
                <c:pt idx="8">
                  <c:v>59-66</c:v>
                </c:pt>
                <c:pt idx="9">
                  <c:v>67-73</c:v>
                </c:pt>
                <c:pt idx="10">
                  <c:v>&gt;=74</c:v>
                </c:pt>
              </c:strCache>
            </c:strRef>
          </c:cat>
          <c:val>
            <c:numRef>
              <c:f>Sheet4!$C$21:$C$31</c:f>
              <c:numCache>
                <c:formatCode>General</c:formatCode>
                <c:ptCount val="11"/>
                <c:pt idx="0">
                  <c:v>12</c:v>
                </c:pt>
                <c:pt idx="1">
                  <c:v>61</c:v>
                </c:pt>
                <c:pt idx="2">
                  <c:v>12</c:v>
                </c:pt>
                <c:pt idx="3">
                  <c:v>7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1-4B5B-BEFD-B871964C3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79621800"/>
        <c:axId val="779627376"/>
      </c:barChart>
      <c:catAx>
        <c:axId val="779621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627376"/>
        <c:crosses val="autoZero"/>
        <c:auto val="1"/>
        <c:lblAlgn val="ctr"/>
        <c:lblOffset val="100"/>
        <c:noMultiLvlLbl val="0"/>
      </c:catAx>
      <c:valAx>
        <c:axId val="77962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62180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Log -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Sheet4!$L$21:$L$31</c:f>
              <c:numCache>
                <c:formatCode>0.00</c:formatCode>
                <c:ptCount val="11"/>
                <c:pt idx="0">
                  <c:v>0</c:v>
                </c:pt>
                <c:pt idx="1">
                  <c:v>0.43040650932041702</c:v>
                </c:pt>
                <c:pt idx="2">
                  <c:v>0.86081301864083404</c:v>
                </c:pt>
                <c:pt idx="3">
                  <c:v>1.2912195279612511</c:v>
                </c:pt>
                <c:pt idx="4">
                  <c:v>1.7216260372816681</c:v>
                </c:pt>
                <c:pt idx="5">
                  <c:v>2.1520325466020851</c:v>
                </c:pt>
                <c:pt idx="6">
                  <c:v>2.5824390559225021</c:v>
                </c:pt>
                <c:pt idx="7">
                  <c:v>3.0128455652429191</c:v>
                </c:pt>
                <c:pt idx="8">
                  <c:v>3.4432520745633362</c:v>
                </c:pt>
                <c:pt idx="9">
                  <c:v>3.8736585838837532</c:v>
                </c:pt>
                <c:pt idx="10">
                  <c:v>4.3040650932041702</c:v>
                </c:pt>
              </c:numCache>
            </c:numRef>
          </c:cat>
          <c:val>
            <c:numRef>
              <c:f>Sheet4!$M$21:$M$31</c:f>
              <c:numCache>
                <c:formatCode>General</c:formatCode>
                <c:ptCount val="11"/>
                <c:pt idx="0">
                  <c:v>15</c:v>
                </c:pt>
                <c:pt idx="1">
                  <c:v>0</c:v>
                </c:pt>
                <c:pt idx="2">
                  <c:v>9</c:v>
                </c:pt>
                <c:pt idx="3">
                  <c:v>8</c:v>
                </c:pt>
                <c:pt idx="4">
                  <c:v>16</c:v>
                </c:pt>
                <c:pt idx="5">
                  <c:v>13</c:v>
                </c:pt>
                <c:pt idx="6">
                  <c:v>10</c:v>
                </c:pt>
                <c:pt idx="7">
                  <c:v>8</c:v>
                </c:pt>
                <c:pt idx="8">
                  <c:v>9</c:v>
                </c:pt>
                <c:pt idx="9">
                  <c:v>9</c:v>
                </c:pt>
                <c:pt idx="1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A6-4C84-A1C7-EE8B80019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79621800"/>
        <c:axId val="779627376"/>
      </c:barChart>
      <c:catAx>
        <c:axId val="779621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627376"/>
        <c:crosses val="autoZero"/>
        <c:auto val="1"/>
        <c:lblAlgn val="ctr"/>
        <c:lblOffset val="100"/>
        <c:noMultiLvlLbl val="0"/>
      </c:catAx>
      <c:valAx>
        <c:axId val="77962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62180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4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Sheet3!$AI$2:$AI$13</c:f>
              <c:numCache>
                <c:formatCode>General</c:formatCode>
                <c:ptCount val="12"/>
                <c:pt idx="0">
                  <c:v>124</c:v>
                </c:pt>
                <c:pt idx="1">
                  <c:v>123</c:v>
                </c:pt>
                <c:pt idx="2">
                  <c:v>103</c:v>
                </c:pt>
                <c:pt idx="3">
                  <c:v>101</c:v>
                </c:pt>
                <c:pt idx="4">
                  <c:v>116</c:v>
                </c:pt>
                <c:pt idx="5">
                  <c:v>116</c:v>
                </c:pt>
                <c:pt idx="6">
                  <c:v>158</c:v>
                </c:pt>
                <c:pt idx="7">
                  <c:v>150</c:v>
                </c:pt>
                <c:pt idx="8">
                  <c:v>105</c:v>
                </c:pt>
                <c:pt idx="9">
                  <c:v>146</c:v>
                </c:pt>
                <c:pt idx="10">
                  <c:v>135</c:v>
                </c:pt>
                <c:pt idx="11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3F-4CFF-8228-3902D2223B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"/>
        <c:overlap val="-27"/>
        <c:axId val="601626984"/>
        <c:axId val="601628296"/>
      </c:barChart>
      <c:catAx>
        <c:axId val="601626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628296"/>
        <c:crosses val="autoZero"/>
        <c:auto val="1"/>
        <c:lblAlgn val="ctr"/>
        <c:lblOffset val="100"/>
        <c:noMultiLvlLbl val="0"/>
      </c:catAx>
      <c:valAx>
        <c:axId val="601628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62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Box Plot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Box Plot</a:t>
          </a:r>
        </a:p>
      </cx:txPr>
    </cx:title>
    <cx:plotArea>
      <cx:plotAreaRegion>
        <cx:series layoutId="boxWhisker" uniqueId="{4746666D-30DD-4F92-87AD-6F3C8EC4EFE9}">
          <cx:tx>
            <cx:txData>
              <cx:f>_xlchart.v1.2</cx:f>
              <cx:v>Lag0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0.439999998"/>
        <cx:tickLabels/>
      </cx:axis>
      <cx:axis id="1">
        <cx:valScaling/>
        <cx:tickLabels/>
      </cx:axis>
    </cx:plotArea>
  </cx:chart>
  <cx:spPr>
    <a:ln>
      <a:solidFill>
        <a:schemeClr val="tx1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Log Box Plot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Log Box Plot</a:t>
          </a:r>
        </a:p>
      </cx:txPr>
    </cx:title>
    <cx:plotArea>
      <cx:plotAreaRegion>
        <cx:series layoutId="boxWhisker" uniqueId="{D7C4AB93-9874-4716-AC3B-3FFA232EAA0B}">
          <cx:spPr>
            <a:solidFill>
              <a:schemeClr val="tx2">
                <a:lumMod val="40000"/>
                <a:lumOff val="60000"/>
              </a:schemeClr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0.239999995"/>
        <cx:tickLabels/>
      </cx:axis>
      <cx:axis id="1">
        <cx:valScaling/>
        <cx:tickLabels/>
      </cx:axis>
    </cx:plotArea>
  </cx:chart>
  <cx:spPr>
    <a:ln>
      <a:solidFill>
        <a:schemeClr val="tx1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microsoft.com/office/2014/relationships/chartEx" Target="../charts/chartEx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2</xdr:row>
      <xdr:rowOff>9525</xdr:rowOff>
    </xdr:from>
    <xdr:to>
      <xdr:col>10</xdr:col>
      <xdr:colOff>542926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A2B564-56AA-4D97-A3AB-1F302A220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542924</xdr:colOff>
      <xdr:row>2</xdr:row>
      <xdr:rowOff>9524</xdr:rowOff>
    </xdr:from>
    <xdr:to>
      <xdr:col>18</xdr:col>
      <xdr:colOff>400049</xdr:colOff>
      <xdr:row>19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E9F70C8-A80B-409C-9C7C-676B6E903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9526</xdr:colOff>
      <xdr:row>19</xdr:row>
      <xdr:rowOff>57150</xdr:rowOff>
    </xdr:from>
    <xdr:to>
      <xdr:col>5</xdr:col>
      <xdr:colOff>57150</xdr:colOff>
      <xdr:row>30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EE8ECC-531D-4D3D-9437-274E530CF6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57152</xdr:colOff>
      <xdr:row>19</xdr:row>
      <xdr:rowOff>57150</xdr:rowOff>
    </xdr:from>
    <xdr:to>
      <xdr:col>9</xdr:col>
      <xdr:colOff>561976</xdr:colOff>
      <xdr:row>30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FDFA7B4-A576-4085-AA67-17279B3D2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561975</xdr:colOff>
      <xdr:row>19</xdr:row>
      <xdr:rowOff>57150</xdr:rowOff>
    </xdr:from>
    <xdr:to>
      <xdr:col>15</xdr:col>
      <xdr:colOff>0</xdr:colOff>
      <xdr:row>31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AA77ABE-5771-46D2-96F1-6A0EC9CA6F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1</xdr:colOff>
      <xdr:row>19</xdr:row>
      <xdr:rowOff>57150</xdr:rowOff>
    </xdr:from>
    <xdr:to>
      <xdr:col>16</xdr:col>
      <xdr:colOff>542925</xdr:colOff>
      <xdr:row>31</xdr:row>
      <xdr:rowOff>9525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1F4A8C57-0EB9-4FBD-BF4F-2166BD3914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44001" y="3676650"/>
              <a:ext cx="1152524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16</xdr:col>
      <xdr:colOff>533400</xdr:colOff>
      <xdr:row>19</xdr:row>
      <xdr:rowOff>57150</xdr:rowOff>
    </xdr:from>
    <xdr:to>
      <xdr:col>19</xdr:col>
      <xdr:colOff>9525</xdr:colOff>
      <xdr:row>31</xdr:row>
      <xdr:rowOff>9525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EA7663A3-3AE5-4DD2-961B-752FDB7FB6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7000" y="3676650"/>
              <a:ext cx="108585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95250</xdr:colOff>
      <xdr:row>5</xdr:row>
      <xdr:rowOff>123825</xdr:rowOff>
    </xdr:from>
    <xdr:to>
      <xdr:col>8</xdr:col>
      <xdr:colOff>200025</xdr:colOff>
      <xdr:row>6</xdr:row>
      <xdr:rowOff>180975</xdr:rowOff>
    </xdr:to>
    <xdr:sp macro="" textlink="">
      <xdr:nvSpPr>
        <xdr:cNvPr id="11" name="Callout: Line 10">
          <a:extLst>
            <a:ext uri="{FF2B5EF4-FFF2-40B4-BE49-F238E27FC236}">
              <a16:creationId xmlns:a16="http://schemas.microsoft.com/office/drawing/2014/main" id="{B55555E6-0B5D-4267-B0F4-F006E8E70204}"/>
            </a:ext>
          </a:extLst>
        </xdr:cNvPr>
        <xdr:cNvSpPr/>
      </xdr:nvSpPr>
      <xdr:spPr>
        <a:xfrm>
          <a:off x="4362450" y="1076325"/>
          <a:ext cx="714375" cy="247650"/>
        </a:xfrm>
        <a:prstGeom prst="borderCallout1">
          <a:avLst>
            <a:gd name="adj1" fmla="val 91477"/>
            <a:gd name="adj2" fmla="val 96015"/>
            <a:gd name="adj3" fmla="val 490822"/>
            <a:gd name="adj4" fmla="val 198595"/>
          </a:avLst>
        </a:prstGeom>
        <a:solidFill>
          <a:sysClr val="window" lastClr="FFFFFF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>
              <a:solidFill>
                <a:srgbClr val="C00000"/>
              </a:solidFill>
            </a:rPr>
            <a:t>RMSE = 15 </a:t>
          </a:r>
        </a:p>
      </xdr:txBody>
    </xdr:sp>
    <xdr:clientData/>
  </xdr:twoCellAnchor>
  <xdr:twoCellAnchor>
    <xdr:from>
      <xdr:col>14</xdr:col>
      <xdr:colOff>95250</xdr:colOff>
      <xdr:row>5</xdr:row>
      <xdr:rowOff>180974</xdr:rowOff>
    </xdr:from>
    <xdr:to>
      <xdr:col>18</xdr:col>
      <xdr:colOff>238125</xdr:colOff>
      <xdr:row>9</xdr:row>
      <xdr:rowOff>190499</xdr:rowOff>
    </xdr:to>
    <xdr:sp macro="" textlink="">
      <xdr:nvSpPr>
        <xdr:cNvPr id="12" name="TextBox 1">
          <a:extLst>
            <a:ext uri="{FF2B5EF4-FFF2-40B4-BE49-F238E27FC236}">
              <a16:creationId xmlns:a16="http://schemas.microsoft.com/office/drawing/2014/main" id="{A56FDA53-1C97-4ADF-9477-34E201B13A03}"/>
            </a:ext>
          </a:extLst>
        </xdr:cNvPr>
        <xdr:cNvSpPr txBox="1"/>
      </xdr:nvSpPr>
      <xdr:spPr>
        <a:xfrm>
          <a:off x="8629650" y="1133474"/>
          <a:ext cx="2581275" cy="771525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txBody>
        <a:bodyPr wrap="square" rtlCol="0" anchor="t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050" b="1">
              <a:solidFill>
                <a:schemeClr val="accent1">
                  <a:lumMod val="75000"/>
                </a:schemeClr>
              </a:solidFill>
            </a:rPr>
            <a:t>-</a:t>
          </a:r>
          <a:r>
            <a:rPr lang="en-US" sz="1050" b="1" baseline="0">
              <a:solidFill>
                <a:schemeClr val="accent1">
                  <a:lumMod val="75000"/>
                </a:schemeClr>
              </a:solidFill>
            </a:rPr>
            <a:t> High lag sequences can be avoided by considering 1 lag at a time in MODEL</a:t>
          </a:r>
        </a:p>
        <a:p>
          <a:pPr algn="l"/>
          <a:r>
            <a:rPr lang="en-US" sz="1050" baseline="0">
              <a:solidFill>
                <a:srgbClr val="C00000"/>
              </a:solidFill>
            </a:rPr>
            <a:t>- Cyclic pattern is not present (No seasonality)</a:t>
          </a:r>
        </a:p>
      </xdr:txBody>
    </xdr:sp>
    <xdr:clientData/>
  </xdr:twoCellAnchor>
  <xdr:twoCellAnchor>
    <xdr:from>
      <xdr:col>7</xdr:col>
      <xdr:colOff>209550</xdr:colOff>
      <xdr:row>21</xdr:row>
      <xdr:rowOff>66675</xdr:rowOff>
    </xdr:from>
    <xdr:to>
      <xdr:col>9</xdr:col>
      <xdr:colOff>466725</xdr:colOff>
      <xdr:row>23</xdr:row>
      <xdr:rowOff>114299</xdr:rowOff>
    </xdr:to>
    <xdr:sp macro="" textlink="">
      <xdr:nvSpPr>
        <xdr:cNvPr id="13" name="TextBox 1">
          <a:extLst>
            <a:ext uri="{FF2B5EF4-FFF2-40B4-BE49-F238E27FC236}">
              <a16:creationId xmlns:a16="http://schemas.microsoft.com/office/drawing/2014/main" id="{7217FF12-C63C-4BC0-B6A9-215CB9339D5A}"/>
            </a:ext>
          </a:extLst>
        </xdr:cNvPr>
        <xdr:cNvSpPr txBox="1"/>
      </xdr:nvSpPr>
      <xdr:spPr>
        <a:xfrm>
          <a:off x="4476750" y="4067175"/>
          <a:ext cx="1476375" cy="428624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txBody>
        <a:bodyPr wrap="square" rtlCol="0" anchor="t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050">
              <a:solidFill>
                <a:srgbClr val="C00000"/>
              </a:solidFill>
            </a:rPr>
            <a:t>- Data</a:t>
          </a:r>
          <a:r>
            <a:rPr lang="en-US" sz="1050" baseline="0">
              <a:solidFill>
                <a:srgbClr val="C00000"/>
              </a:solidFill>
            </a:rPr>
            <a:t> is not skewed</a:t>
          </a:r>
        </a:p>
        <a:p>
          <a:pPr algn="l"/>
          <a:r>
            <a:rPr lang="en-US" sz="1050" baseline="0">
              <a:solidFill>
                <a:srgbClr val="C00000"/>
              </a:solidFill>
            </a:rPr>
            <a:t>- Skewness = 0.1</a:t>
          </a:r>
        </a:p>
      </xdr:txBody>
    </xdr:sp>
    <xdr:clientData/>
  </xdr:twoCellAnchor>
  <xdr:twoCellAnchor>
    <xdr:from>
      <xdr:col>16</xdr:col>
      <xdr:colOff>561974</xdr:colOff>
      <xdr:row>23</xdr:row>
      <xdr:rowOff>95250</xdr:rowOff>
    </xdr:from>
    <xdr:to>
      <xdr:col>18</xdr:col>
      <xdr:colOff>371475</xdr:colOff>
      <xdr:row>24</xdr:row>
      <xdr:rowOff>85725</xdr:rowOff>
    </xdr:to>
    <xdr:sp macro="" textlink="">
      <xdr:nvSpPr>
        <xdr:cNvPr id="14" name="TextBox 1">
          <a:extLst>
            <a:ext uri="{FF2B5EF4-FFF2-40B4-BE49-F238E27FC236}">
              <a16:creationId xmlns:a16="http://schemas.microsoft.com/office/drawing/2014/main" id="{7447616C-35D8-48D5-81D5-BA1383986751}"/>
            </a:ext>
          </a:extLst>
        </xdr:cNvPr>
        <xdr:cNvSpPr txBox="1"/>
      </xdr:nvSpPr>
      <xdr:spPr>
        <a:xfrm>
          <a:off x="10315574" y="4476750"/>
          <a:ext cx="1028701" cy="180975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solidFill>
                <a:srgbClr val="C00000"/>
              </a:solidFill>
            </a:rPr>
            <a:t>- Outliers Reduced</a:t>
          </a:r>
          <a:endParaRPr lang="en-US" sz="800" baseline="0">
            <a:solidFill>
              <a:srgbClr val="C00000"/>
            </a:solidFill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0.06465</cdr:x>
      <cdr:y>0.17391</cdr:y>
    </cdr:from>
    <cdr:to>
      <cdr:x>0.52299</cdr:x>
      <cdr:y>0.30435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9289D88-1E9B-48D8-92C6-529BD4195371}"/>
            </a:ext>
          </a:extLst>
        </cdr:cNvPr>
        <cdr:cNvSpPr txBox="1"/>
      </cdr:nvSpPr>
      <cdr:spPr>
        <a:xfrm xmlns:a="http://schemas.openxmlformats.org/drawingml/2006/main">
          <a:off x="428623" y="571501"/>
          <a:ext cx="3038475" cy="42862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none" rtlCol="0" anchor="t"/>
        <a:lstStyle xmlns:a="http://schemas.openxmlformats.org/drawingml/2006/main"/>
        <a:p xmlns:a="http://schemas.openxmlformats.org/drawingml/2006/main">
          <a:pPr algn="l"/>
          <a:r>
            <a:rPr lang="en-US" sz="1050">
              <a:solidFill>
                <a:srgbClr val="C00000"/>
              </a:solidFill>
            </a:rPr>
            <a:t>- Almost every alternate month their</a:t>
          </a:r>
          <a:r>
            <a:rPr lang="en-US" sz="1050" baseline="0">
              <a:solidFill>
                <a:srgbClr val="C00000"/>
              </a:solidFill>
            </a:rPr>
            <a:t> is a peak/dip</a:t>
          </a:r>
        </a:p>
        <a:p xmlns:a="http://schemas.openxmlformats.org/drawingml/2006/main">
          <a:pPr algn="l"/>
          <a:r>
            <a:rPr lang="en-US" sz="1050" baseline="0">
              <a:solidFill>
                <a:srgbClr val="C00000"/>
              </a:solidFill>
            </a:rPr>
            <a:t>- 2009 to 2014 is different from 2015-2019</a:t>
          </a:r>
          <a:endParaRPr lang="en-US" sz="1050">
            <a:solidFill>
              <a:srgbClr val="C00000"/>
            </a:solidFill>
          </a:endParaRPr>
        </a:p>
      </cdr:txBody>
    </cdr:sp>
  </cdr:relSizeAnchor>
  <cdr:relSizeAnchor xmlns:cdr="http://schemas.openxmlformats.org/drawingml/2006/chartDrawing">
    <cdr:from>
      <cdr:x>0.11973</cdr:x>
      <cdr:y>0.35459</cdr:y>
    </cdr:from>
    <cdr:to>
      <cdr:x>0.22749</cdr:x>
      <cdr:y>0.42995</cdr:y>
    </cdr:to>
    <cdr:sp macro="" textlink="">
      <cdr:nvSpPr>
        <cdr:cNvPr id="3" name="Callout: Line 2">
          <a:extLst xmlns:a="http://schemas.openxmlformats.org/drawingml/2006/main">
            <a:ext uri="{FF2B5EF4-FFF2-40B4-BE49-F238E27FC236}">
              <a16:creationId xmlns:a16="http://schemas.microsoft.com/office/drawing/2014/main" id="{B55555E6-0B5D-4267-B0F4-F006E8E70204}"/>
            </a:ext>
          </a:extLst>
        </cdr:cNvPr>
        <cdr:cNvSpPr/>
      </cdr:nvSpPr>
      <cdr:spPr>
        <a:xfrm xmlns:a="http://schemas.openxmlformats.org/drawingml/2006/main">
          <a:off x="793750" y="1165225"/>
          <a:ext cx="714375" cy="247650"/>
        </a:xfrm>
        <a:prstGeom xmlns:a="http://schemas.openxmlformats.org/drawingml/2006/main" prst="borderCallout1">
          <a:avLst>
            <a:gd name="adj1" fmla="val 91477"/>
            <a:gd name="adj2" fmla="val 96015"/>
            <a:gd name="adj3" fmla="val 490822"/>
            <a:gd name="adj4" fmla="val 198595"/>
          </a:avLst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solidFill>
                <a:srgbClr val="C00000"/>
              </a:solidFill>
            </a:rPr>
            <a:t>RMSE = 18 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0.35692</cdr:x>
      <cdr:y>0.24823</cdr:y>
    </cdr:from>
    <cdr:to>
      <cdr:x>0.94154</cdr:x>
      <cdr:y>0.43972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56FDA53-1C97-4ADF-9477-34E201B13A03}"/>
            </a:ext>
          </a:extLst>
        </cdr:cNvPr>
        <cdr:cNvSpPr txBox="1"/>
      </cdr:nvSpPr>
      <cdr:spPr>
        <a:xfrm xmlns:a="http://schemas.openxmlformats.org/drawingml/2006/main">
          <a:off x="1104901" y="555625"/>
          <a:ext cx="1809748" cy="42862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wrap="non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050">
              <a:solidFill>
                <a:srgbClr val="C00000"/>
              </a:solidFill>
            </a:rPr>
            <a:t>- Data</a:t>
          </a:r>
          <a:r>
            <a:rPr lang="en-US" sz="1050" baseline="0">
              <a:solidFill>
                <a:srgbClr val="C00000"/>
              </a:solidFill>
            </a:rPr>
            <a:t> is largely right skewed</a:t>
          </a:r>
        </a:p>
        <a:p xmlns:a="http://schemas.openxmlformats.org/drawingml/2006/main">
          <a:pPr algn="l"/>
          <a:r>
            <a:rPr lang="en-US" sz="1050" baseline="0">
              <a:solidFill>
                <a:srgbClr val="C00000"/>
              </a:solidFill>
            </a:rPr>
            <a:t>- Skewness = 1.8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0.01333</cdr:x>
      <cdr:y>0.15819</cdr:y>
    </cdr:from>
    <cdr:to>
      <cdr:x>0.49026</cdr:x>
      <cdr:y>0.34887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17FF12-C63C-4BC0-B6A9-215CB9339D5A}"/>
            </a:ext>
          </a:extLst>
        </cdr:cNvPr>
        <cdr:cNvSpPr txBox="1"/>
      </cdr:nvSpPr>
      <cdr:spPr>
        <a:xfrm xmlns:a="http://schemas.openxmlformats.org/drawingml/2006/main">
          <a:off x="41275" y="355600"/>
          <a:ext cx="1476375" cy="42862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050">
              <a:solidFill>
                <a:srgbClr val="C00000"/>
              </a:solidFill>
            </a:rPr>
            <a:t>- Q3</a:t>
          </a:r>
          <a:r>
            <a:rPr lang="en-US" sz="1050" baseline="0">
              <a:solidFill>
                <a:srgbClr val="C00000"/>
              </a:solidFill>
            </a:rPr>
            <a:t> and Q4 are likely to make more contacts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122EA-B999-4051-855A-098F2D105E60}">
  <dimension ref="A1:G1523"/>
  <sheetViews>
    <sheetView workbookViewId="0">
      <selection sqref="A1:XFD1048576"/>
    </sheetView>
  </sheetViews>
  <sheetFormatPr defaultRowHeight="15" x14ac:dyDescent="0.25"/>
  <cols>
    <col min="1" max="1" width="17.42578125" style="4" customWidth="1"/>
    <col min="2" max="2" width="18.140625" style="4" customWidth="1"/>
    <col min="3" max="3" width="27.5703125" style="4" customWidth="1"/>
    <col min="4" max="4" width="37.85546875" style="4" customWidth="1"/>
    <col min="5" max="5" width="19.42578125" style="4" customWidth="1"/>
    <col min="6" max="6" width="3" bestFit="1" customWidth="1"/>
    <col min="7" max="7" width="5" bestFit="1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7" x14ac:dyDescent="0.25">
      <c r="A2" s="2" t="s">
        <v>5</v>
      </c>
      <c r="B2" s="2" t="s">
        <v>6</v>
      </c>
      <c r="C2" s="2" t="s">
        <v>7</v>
      </c>
      <c r="D2" s="2" t="s">
        <v>8</v>
      </c>
      <c r="E2" s="3">
        <v>43693</v>
      </c>
      <c r="F2">
        <f>MONTH(E2)</f>
        <v>8</v>
      </c>
      <c r="G2">
        <f>YEAR(E2)</f>
        <v>2019</v>
      </c>
    </row>
    <row r="3" spans="1:7" x14ac:dyDescent="0.25">
      <c r="A3" s="2" t="s">
        <v>9</v>
      </c>
      <c r="B3" s="2" t="s">
        <v>10</v>
      </c>
      <c r="C3" s="2" t="s">
        <v>11</v>
      </c>
      <c r="D3" s="2" t="s">
        <v>12</v>
      </c>
      <c r="E3" s="3">
        <v>43692</v>
      </c>
      <c r="F3">
        <f t="shared" ref="F3:F66" si="0">MONTH(E3)</f>
        <v>8</v>
      </c>
      <c r="G3">
        <f t="shared" ref="G3:G66" si="1">YEAR(E3)</f>
        <v>2019</v>
      </c>
    </row>
    <row r="4" spans="1:7" x14ac:dyDescent="0.25">
      <c r="A4" s="2" t="s">
        <v>13</v>
      </c>
      <c r="B4" s="2" t="s">
        <v>14</v>
      </c>
      <c r="C4" s="2" t="s">
        <v>15</v>
      </c>
      <c r="D4" s="2" t="s">
        <v>16</v>
      </c>
      <c r="E4" s="3">
        <v>43692</v>
      </c>
      <c r="F4">
        <f t="shared" si="0"/>
        <v>8</v>
      </c>
      <c r="G4">
        <f t="shared" si="1"/>
        <v>2019</v>
      </c>
    </row>
    <row r="5" spans="1:7" x14ac:dyDescent="0.25">
      <c r="A5" s="2" t="s">
        <v>17</v>
      </c>
      <c r="B5" s="2" t="s">
        <v>18</v>
      </c>
      <c r="C5" s="2" t="s">
        <v>19</v>
      </c>
      <c r="D5" s="2" t="s">
        <v>20</v>
      </c>
      <c r="E5" s="3">
        <v>43692</v>
      </c>
      <c r="F5">
        <f t="shared" si="0"/>
        <v>8</v>
      </c>
      <c r="G5">
        <f t="shared" si="1"/>
        <v>2019</v>
      </c>
    </row>
    <row r="6" spans="1:7" x14ac:dyDescent="0.25">
      <c r="A6" s="2" t="s">
        <v>21</v>
      </c>
      <c r="B6" s="2" t="s">
        <v>22</v>
      </c>
      <c r="C6" s="2" t="s">
        <v>23</v>
      </c>
      <c r="D6" s="2" t="s">
        <v>24</v>
      </c>
      <c r="E6" s="3">
        <v>43692</v>
      </c>
      <c r="F6">
        <f t="shared" si="0"/>
        <v>8</v>
      </c>
      <c r="G6">
        <f t="shared" si="1"/>
        <v>2019</v>
      </c>
    </row>
    <row r="7" spans="1:7" x14ac:dyDescent="0.25">
      <c r="A7" s="2" t="s">
        <v>25</v>
      </c>
      <c r="B7" s="2" t="s">
        <v>26</v>
      </c>
      <c r="C7" s="2" t="s">
        <v>27</v>
      </c>
      <c r="D7" s="2" t="s">
        <v>28</v>
      </c>
      <c r="E7" s="3">
        <v>43691</v>
      </c>
      <c r="F7">
        <f t="shared" si="0"/>
        <v>8</v>
      </c>
      <c r="G7">
        <f t="shared" si="1"/>
        <v>2019</v>
      </c>
    </row>
    <row r="8" spans="1:7" x14ac:dyDescent="0.25">
      <c r="A8" s="2" t="s">
        <v>29</v>
      </c>
      <c r="B8" s="2" t="s">
        <v>30</v>
      </c>
      <c r="C8" s="2" t="s">
        <v>31</v>
      </c>
      <c r="D8" s="2" t="s">
        <v>32</v>
      </c>
      <c r="E8" s="3">
        <v>43691</v>
      </c>
      <c r="F8">
        <f t="shared" si="0"/>
        <v>8</v>
      </c>
      <c r="G8">
        <f t="shared" si="1"/>
        <v>2019</v>
      </c>
    </row>
    <row r="9" spans="1:7" x14ac:dyDescent="0.25">
      <c r="A9" s="2" t="s">
        <v>33</v>
      </c>
      <c r="B9" s="2" t="s">
        <v>34</v>
      </c>
      <c r="C9" s="2" t="s">
        <v>23</v>
      </c>
      <c r="D9" s="2" t="s">
        <v>35</v>
      </c>
      <c r="E9" s="3">
        <v>43690</v>
      </c>
      <c r="F9">
        <f t="shared" si="0"/>
        <v>8</v>
      </c>
      <c r="G9">
        <f t="shared" si="1"/>
        <v>2019</v>
      </c>
    </row>
    <row r="10" spans="1:7" x14ac:dyDescent="0.25">
      <c r="A10" s="2" t="s">
        <v>36</v>
      </c>
      <c r="B10" s="2" t="s">
        <v>37</v>
      </c>
      <c r="C10" s="2" t="s">
        <v>38</v>
      </c>
      <c r="D10" s="2" t="s">
        <v>39</v>
      </c>
      <c r="E10" s="3">
        <v>43690</v>
      </c>
      <c r="F10">
        <f t="shared" si="0"/>
        <v>8</v>
      </c>
      <c r="G10">
        <f t="shared" si="1"/>
        <v>2019</v>
      </c>
    </row>
    <row r="11" spans="1:7" x14ac:dyDescent="0.25">
      <c r="A11" s="2" t="s">
        <v>40</v>
      </c>
      <c r="B11" s="2" t="s">
        <v>41</v>
      </c>
      <c r="C11" s="2" t="s">
        <v>42</v>
      </c>
      <c r="D11" s="2" t="s">
        <v>43</v>
      </c>
      <c r="E11" s="3">
        <v>43690</v>
      </c>
      <c r="F11">
        <f t="shared" si="0"/>
        <v>8</v>
      </c>
      <c r="G11">
        <f t="shared" si="1"/>
        <v>2019</v>
      </c>
    </row>
    <row r="12" spans="1:7" x14ac:dyDescent="0.25">
      <c r="A12" s="2" t="s">
        <v>44</v>
      </c>
      <c r="B12" s="2" t="s">
        <v>45</v>
      </c>
      <c r="C12" s="2" t="s">
        <v>46</v>
      </c>
      <c r="D12" s="2" t="s">
        <v>47</v>
      </c>
      <c r="E12" s="3">
        <v>43690</v>
      </c>
      <c r="F12">
        <f t="shared" si="0"/>
        <v>8</v>
      </c>
      <c r="G12">
        <f t="shared" si="1"/>
        <v>2019</v>
      </c>
    </row>
    <row r="13" spans="1:7" x14ac:dyDescent="0.25">
      <c r="A13" s="2" t="s">
        <v>48</v>
      </c>
      <c r="B13" s="2" t="s">
        <v>49</v>
      </c>
      <c r="C13" s="2" t="s">
        <v>50</v>
      </c>
      <c r="D13" s="2" t="s">
        <v>51</v>
      </c>
      <c r="E13" s="3">
        <v>43689</v>
      </c>
      <c r="F13">
        <f t="shared" si="0"/>
        <v>8</v>
      </c>
      <c r="G13">
        <f t="shared" si="1"/>
        <v>2019</v>
      </c>
    </row>
    <row r="14" spans="1:7" x14ac:dyDescent="0.25">
      <c r="A14" s="2" t="s">
        <v>52</v>
      </c>
      <c r="B14" s="2" t="s">
        <v>53</v>
      </c>
      <c r="C14" s="2" t="s">
        <v>50</v>
      </c>
      <c r="D14" s="2" t="s">
        <v>54</v>
      </c>
      <c r="E14" s="3">
        <v>43688</v>
      </c>
      <c r="F14">
        <f t="shared" si="0"/>
        <v>8</v>
      </c>
      <c r="G14">
        <f t="shared" si="1"/>
        <v>2019</v>
      </c>
    </row>
    <row r="15" spans="1:7" x14ac:dyDescent="0.25">
      <c r="A15" s="2" t="s">
        <v>55</v>
      </c>
      <c r="B15" s="2" t="s">
        <v>56</v>
      </c>
      <c r="C15" s="2" t="s">
        <v>57</v>
      </c>
      <c r="D15" s="2" t="s">
        <v>58</v>
      </c>
      <c r="E15" s="3">
        <v>43688</v>
      </c>
      <c r="F15">
        <f t="shared" si="0"/>
        <v>8</v>
      </c>
      <c r="G15">
        <f t="shared" si="1"/>
        <v>2019</v>
      </c>
    </row>
    <row r="16" spans="1:7" ht="24" x14ac:dyDescent="0.25">
      <c r="A16" s="2" t="s">
        <v>59</v>
      </c>
      <c r="B16" s="2" t="s">
        <v>60</v>
      </c>
      <c r="C16" s="2" t="s">
        <v>61</v>
      </c>
      <c r="D16" s="2" t="s">
        <v>62</v>
      </c>
      <c r="E16" s="3">
        <v>43688</v>
      </c>
      <c r="F16">
        <f t="shared" si="0"/>
        <v>8</v>
      </c>
      <c r="G16">
        <f t="shared" si="1"/>
        <v>2019</v>
      </c>
    </row>
    <row r="17" spans="1:7" x14ac:dyDescent="0.25">
      <c r="A17" s="2" t="s">
        <v>63</v>
      </c>
      <c r="B17" s="2" t="s">
        <v>64</v>
      </c>
      <c r="C17" s="2" t="s">
        <v>65</v>
      </c>
      <c r="D17" s="2" t="s">
        <v>66</v>
      </c>
      <c r="E17" s="3">
        <v>43687</v>
      </c>
      <c r="F17">
        <f t="shared" si="0"/>
        <v>8</v>
      </c>
      <c r="G17">
        <f t="shared" si="1"/>
        <v>2019</v>
      </c>
    </row>
    <row r="18" spans="1:7" x14ac:dyDescent="0.25">
      <c r="A18" s="2" t="s">
        <v>67</v>
      </c>
      <c r="B18" s="2" t="s">
        <v>68</v>
      </c>
      <c r="C18" s="2" t="s">
        <v>69</v>
      </c>
      <c r="D18" s="2" t="s">
        <v>70</v>
      </c>
      <c r="E18" s="3">
        <v>43686</v>
      </c>
      <c r="F18">
        <f t="shared" si="0"/>
        <v>8</v>
      </c>
      <c r="G18">
        <f t="shared" si="1"/>
        <v>2019</v>
      </c>
    </row>
    <row r="19" spans="1:7" x14ac:dyDescent="0.25">
      <c r="A19" s="2" t="s">
        <v>71</v>
      </c>
      <c r="B19" s="2" t="s">
        <v>72</v>
      </c>
      <c r="C19" s="2" t="s">
        <v>73</v>
      </c>
      <c r="D19" s="2" t="s">
        <v>74</v>
      </c>
      <c r="E19" s="3">
        <v>43685</v>
      </c>
      <c r="F19">
        <f t="shared" si="0"/>
        <v>8</v>
      </c>
      <c r="G19">
        <f t="shared" si="1"/>
        <v>2019</v>
      </c>
    </row>
    <row r="20" spans="1:7" x14ac:dyDescent="0.25">
      <c r="A20" s="2" t="s">
        <v>75</v>
      </c>
      <c r="B20" s="2" t="s">
        <v>76</v>
      </c>
      <c r="C20" s="2" t="s">
        <v>11</v>
      </c>
      <c r="D20" s="2" t="s">
        <v>77</v>
      </c>
      <c r="E20" s="3">
        <v>43685</v>
      </c>
      <c r="F20">
        <f t="shared" si="0"/>
        <v>8</v>
      </c>
      <c r="G20">
        <f t="shared" si="1"/>
        <v>2019</v>
      </c>
    </row>
    <row r="21" spans="1:7" x14ac:dyDescent="0.25">
      <c r="A21" s="2" t="s">
        <v>78</v>
      </c>
      <c r="B21" s="2" t="s">
        <v>79</v>
      </c>
      <c r="C21" s="2" t="s">
        <v>65</v>
      </c>
      <c r="D21" s="2" t="s">
        <v>80</v>
      </c>
      <c r="E21" s="3">
        <v>43683</v>
      </c>
      <c r="F21">
        <f t="shared" si="0"/>
        <v>8</v>
      </c>
      <c r="G21">
        <f t="shared" si="1"/>
        <v>2019</v>
      </c>
    </row>
    <row r="22" spans="1:7" x14ac:dyDescent="0.25">
      <c r="A22" s="2" t="s">
        <v>81</v>
      </c>
      <c r="B22" s="2" t="s">
        <v>82</v>
      </c>
      <c r="C22" s="2" t="s">
        <v>83</v>
      </c>
      <c r="D22" s="2" t="s">
        <v>84</v>
      </c>
      <c r="E22" s="3">
        <v>43681</v>
      </c>
      <c r="F22">
        <f t="shared" si="0"/>
        <v>8</v>
      </c>
      <c r="G22">
        <f t="shared" si="1"/>
        <v>2019</v>
      </c>
    </row>
    <row r="23" spans="1:7" x14ac:dyDescent="0.25">
      <c r="A23" s="2" t="s">
        <v>85</v>
      </c>
      <c r="B23" s="2" t="s">
        <v>86</v>
      </c>
      <c r="C23" s="2" t="s">
        <v>87</v>
      </c>
      <c r="D23" s="2" t="s">
        <v>88</v>
      </c>
      <c r="E23" s="3">
        <v>43681</v>
      </c>
      <c r="F23">
        <f t="shared" si="0"/>
        <v>8</v>
      </c>
      <c r="G23">
        <f t="shared" si="1"/>
        <v>2019</v>
      </c>
    </row>
    <row r="24" spans="1:7" x14ac:dyDescent="0.25">
      <c r="A24" s="2" t="s">
        <v>89</v>
      </c>
      <c r="B24" s="2" t="s">
        <v>90</v>
      </c>
      <c r="C24" s="2" t="s">
        <v>91</v>
      </c>
      <c r="D24" s="2" t="s">
        <v>92</v>
      </c>
      <c r="E24" s="3">
        <v>43681</v>
      </c>
      <c r="F24">
        <f t="shared" si="0"/>
        <v>8</v>
      </c>
      <c r="G24">
        <f t="shared" si="1"/>
        <v>2019</v>
      </c>
    </row>
    <row r="25" spans="1:7" x14ac:dyDescent="0.25">
      <c r="A25" s="2" t="s">
        <v>93</v>
      </c>
      <c r="B25" s="2" t="s">
        <v>94</v>
      </c>
      <c r="C25" s="2" t="s">
        <v>95</v>
      </c>
      <c r="D25" s="2" t="s">
        <v>96</v>
      </c>
      <c r="E25" s="3">
        <v>43681</v>
      </c>
      <c r="F25">
        <f t="shared" si="0"/>
        <v>8</v>
      </c>
      <c r="G25">
        <f t="shared" si="1"/>
        <v>2019</v>
      </c>
    </row>
    <row r="26" spans="1:7" x14ac:dyDescent="0.25">
      <c r="A26" s="2" t="s">
        <v>97</v>
      </c>
      <c r="B26" s="2" t="s">
        <v>98</v>
      </c>
      <c r="C26" s="2" t="s">
        <v>99</v>
      </c>
      <c r="D26" s="2" t="s">
        <v>8</v>
      </c>
      <c r="E26" s="3">
        <v>43680</v>
      </c>
      <c r="F26">
        <f t="shared" si="0"/>
        <v>8</v>
      </c>
      <c r="G26">
        <f t="shared" si="1"/>
        <v>2019</v>
      </c>
    </row>
    <row r="27" spans="1:7" ht="24" x14ac:dyDescent="0.25">
      <c r="A27" s="2" t="s">
        <v>100</v>
      </c>
      <c r="B27" s="2" t="s">
        <v>101</v>
      </c>
      <c r="C27" s="2" t="s">
        <v>102</v>
      </c>
      <c r="D27" s="2" t="s">
        <v>103</v>
      </c>
      <c r="E27" s="3">
        <v>43679</v>
      </c>
      <c r="F27">
        <f t="shared" si="0"/>
        <v>8</v>
      </c>
      <c r="G27">
        <f t="shared" si="1"/>
        <v>2019</v>
      </c>
    </row>
    <row r="28" spans="1:7" x14ac:dyDescent="0.25">
      <c r="A28" s="2" t="s">
        <v>104</v>
      </c>
      <c r="B28" s="2" t="s">
        <v>105</v>
      </c>
      <c r="C28" s="2" t="s">
        <v>102</v>
      </c>
      <c r="D28" s="2" t="s">
        <v>106</v>
      </c>
      <c r="E28" s="3">
        <v>43679</v>
      </c>
      <c r="F28">
        <f t="shared" si="0"/>
        <v>8</v>
      </c>
      <c r="G28">
        <f t="shared" si="1"/>
        <v>2019</v>
      </c>
    </row>
    <row r="29" spans="1:7" ht="24" x14ac:dyDescent="0.25">
      <c r="A29" s="2" t="s">
        <v>107</v>
      </c>
      <c r="B29" s="2" t="s">
        <v>108</v>
      </c>
      <c r="C29" s="2" t="s">
        <v>109</v>
      </c>
      <c r="D29" s="2" t="s">
        <v>110</v>
      </c>
      <c r="E29" s="3">
        <v>43679</v>
      </c>
      <c r="F29">
        <f t="shared" si="0"/>
        <v>8</v>
      </c>
      <c r="G29">
        <f t="shared" si="1"/>
        <v>2019</v>
      </c>
    </row>
    <row r="30" spans="1:7" x14ac:dyDescent="0.25">
      <c r="A30" s="2" t="s">
        <v>111</v>
      </c>
      <c r="B30" s="2" t="s">
        <v>112</v>
      </c>
      <c r="C30" s="2" t="s">
        <v>113</v>
      </c>
      <c r="D30" s="2" t="s">
        <v>114</v>
      </c>
      <c r="E30" s="3">
        <v>43678</v>
      </c>
      <c r="F30">
        <f t="shared" si="0"/>
        <v>8</v>
      </c>
      <c r="G30">
        <f t="shared" si="1"/>
        <v>2019</v>
      </c>
    </row>
    <row r="31" spans="1:7" x14ac:dyDescent="0.25">
      <c r="A31" s="2" t="s">
        <v>115</v>
      </c>
      <c r="B31" s="2" t="s">
        <v>116</v>
      </c>
      <c r="C31" s="2" t="s">
        <v>117</v>
      </c>
      <c r="D31" s="2" t="s">
        <v>118</v>
      </c>
      <c r="E31" s="3">
        <v>43678</v>
      </c>
      <c r="F31">
        <f t="shared" si="0"/>
        <v>8</v>
      </c>
      <c r="G31">
        <f t="shared" si="1"/>
        <v>2019</v>
      </c>
    </row>
    <row r="32" spans="1:7" x14ac:dyDescent="0.25">
      <c r="A32" s="2" t="s">
        <v>119</v>
      </c>
      <c r="B32" s="2" t="s">
        <v>120</v>
      </c>
      <c r="C32" s="2"/>
      <c r="D32" s="2"/>
      <c r="E32" s="3">
        <v>43678</v>
      </c>
      <c r="F32">
        <f t="shared" si="0"/>
        <v>8</v>
      </c>
      <c r="G32">
        <f t="shared" si="1"/>
        <v>2019</v>
      </c>
    </row>
    <row r="33" spans="1:7" x14ac:dyDescent="0.25">
      <c r="A33" s="2" t="s">
        <v>121</v>
      </c>
      <c r="B33" s="2" t="s">
        <v>122</v>
      </c>
      <c r="C33" s="2" t="s">
        <v>123</v>
      </c>
      <c r="D33" s="2" t="s">
        <v>124</v>
      </c>
      <c r="E33" s="3">
        <v>43677</v>
      </c>
      <c r="F33">
        <f t="shared" si="0"/>
        <v>7</v>
      </c>
      <c r="G33">
        <f t="shared" si="1"/>
        <v>2019</v>
      </c>
    </row>
    <row r="34" spans="1:7" x14ac:dyDescent="0.25">
      <c r="A34" s="2" t="s">
        <v>125</v>
      </c>
      <c r="B34" s="2" t="s">
        <v>126</v>
      </c>
      <c r="C34" s="2" t="s">
        <v>127</v>
      </c>
      <c r="D34" s="2" t="s">
        <v>128</v>
      </c>
      <c r="E34" s="3">
        <v>43675</v>
      </c>
      <c r="F34">
        <f t="shared" si="0"/>
        <v>7</v>
      </c>
      <c r="G34">
        <f t="shared" si="1"/>
        <v>2019</v>
      </c>
    </row>
    <row r="35" spans="1:7" ht="24" x14ac:dyDescent="0.25">
      <c r="A35" s="2" t="s">
        <v>129</v>
      </c>
      <c r="B35" s="2" t="s">
        <v>130</v>
      </c>
      <c r="C35" s="2" t="s">
        <v>131</v>
      </c>
      <c r="D35" s="2" t="s">
        <v>132</v>
      </c>
      <c r="E35" s="3">
        <v>43675</v>
      </c>
      <c r="F35">
        <f t="shared" si="0"/>
        <v>7</v>
      </c>
      <c r="G35">
        <f t="shared" si="1"/>
        <v>2019</v>
      </c>
    </row>
    <row r="36" spans="1:7" x14ac:dyDescent="0.25">
      <c r="A36" s="2" t="s">
        <v>133</v>
      </c>
      <c r="B36" s="2" t="s">
        <v>68</v>
      </c>
      <c r="C36" s="2"/>
      <c r="D36" s="2"/>
      <c r="E36" s="3">
        <v>43675</v>
      </c>
      <c r="F36">
        <f t="shared" si="0"/>
        <v>7</v>
      </c>
      <c r="G36">
        <f t="shared" si="1"/>
        <v>2019</v>
      </c>
    </row>
    <row r="37" spans="1:7" x14ac:dyDescent="0.25">
      <c r="A37" s="2" t="s">
        <v>134</v>
      </c>
      <c r="B37" s="2" t="s">
        <v>135</v>
      </c>
      <c r="C37" s="2" t="s">
        <v>136</v>
      </c>
      <c r="D37" s="2" t="s">
        <v>137</v>
      </c>
      <c r="E37" s="3">
        <v>43675</v>
      </c>
      <c r="F37">
        <f t="shared" si="0"/>
        <v>7</v>
      </c>
      <c r="G37">
        <f t="shared" si="1"/>
        <v>2019</v>
      </c>
    </row>
    <row r="38" spans="1:7" x14ac:dyDescent="0.25">
      <c r="A38" s="2" t="s">
        <v>138</v>
      </c>
      <c r="B38" s="2" t="s">
        <v>139</v>
      </c>
      <c r="C38" s="2" t="s">
        <v>140</v>
      </c>
      <c r="D38" s="2" t="s">
        <v>141</v>
      </c>
      <c r="E38" s="3">
        <v>43675</v>
      </c>
      <c r="F38">
        <f t="shared" si="0"/>
        <v>7</v>
      </c>
      <c r="G38">
        <f t="shared" si="1"/>
        <v>2019</v>
      </c>
    </row>
    <row r="39" spans="1:7" x14ac:dyDescent="0.25">
      <c r="A39" s="2" t="s">
        <v>142</v>
      </c>
      <c r="B39" s="2" t="s">
        <v>143</v>
      </c>
      <c r="C39" s="2" t="s">
        <v>144</v>
      </c>
      <c r="D39" s="2" t="s">
        <v>145</v>
      </c>
      <c r="E39" s="3">
        <v>43675</v>
      </c>
      <c r="F39">
        <f t="shared" si="0"/>
        <v>7</v>
      </c>
      <c r="G39">
        <f t="shared" si="1"/>
        <v>2019</v>
      </c>
    </row>
    <row r="40" spans="1:7" ht="24" x14ac:dyDescent="0.25">
      <c r="A40" s="2" t="s">
        <v>146</v>
      </c>
      <c r="B40" s="2" t="s">
        <v>147</v>
      </c>
      <c r="C40" s="2" t="s">
        <v>148</v>
      </c>
      <c r="D40" s="2" t="s">
        <v>149</v>
      </c>
      <c r="E40" s="3">
        <v>43675</v>
      </c>
      <c r="F40">
        <f t="shared" si="0"/>
        <v>7</v>
      </c>
      <c r="G40">
        <f t="shared" si="1"/>
        <v>2019</v>
      </c>
    </row>
    <row r="41" spans="1:7" x14ac:dyDescent="0.25">
      <c r="A41" s="2" t="s">
        <v>150</v>
      </c>
      <c r="B41" s="2" t="s">
        <v>151</v>
      </c>
      <c r="C41" s="2" t="s">
        <v>152</v>
      </c>
      <c r="D41" s="2" t="s">
        <v>153</v>
      </c>
      <c r="E41" s="3">
        <v>43675</v>
      </c>
      <c r="F41">
        <f t="shared" si="0"/>
        <v>7</v>
      </c>
      <c r="G41">
        <f t="shared" si="1"/>
        <v>2019</v>
      </c>
    </row>
    <row r="42" spans="1:7" ht="24" x14ac:dyDescent="0.25">
      <c r="A42" s="2" t="s">
        <v>154</v>
      </c>
      <c r="B42" s="2" t="s">
        <v>155</v>
      </c>
      <c r="C42" s="2" t="s">
        <v>156</v>
      </c>
      <c r="D42" s="2" t="s">
        <v>157</v>
      </c>
      <c r="E42" s="3">
        <v>43675</v>
      </c>
      <c r="F42">
        <f t="shared" si="0"/>
        <v>7</v>
      </c>
      <c r="G42">
        <f t="shared" si="1"/>
        <v>2019</v>
      </c>
    </row>
    <row r="43" spans="1:7" ht="24" x14ac:dyDescent="0.25">
      <c r="A43" s="2" t="s">
        <v>158</v>
      </c>
      <c r="B43" s="2" t="s">
        <v>159</v>
      </c>
      <c r="C43" s="2" t="s">
        <v>160</v>
      </c>
      <c r="D43" s="2" t="s">
        <v>161</v>
      </c>
      <c r="E43" s="3">
        <v>43674</v>
      </c>
      <c r="F43">
        <f t="shared" si="0"/>
        <v>7</v>
      </c>
      <c r="G43">
        <f t="shared" si="1"/>
        <v>2019</v>
      </c>
    </row>
    <row r="44" spans="1:7" x14ac:dyDescent="0.25">
      <c r="A44" s="2" t="s">
        <v>162</v>
      </c>
      <c r="B44" s="2" t="s">
        <v>163</v>
      </c>
      <c r="C44" s="2" t="s">
        <v>164</v>
      </c>
      <c r="D44" s="2" t="s">
        <v>165</v>
      </c>
      <c r="E44" s="3">
        <v>43674</v>
      </c>
      <c r="F44">
        <f t="shared" si="0"/>
        <v>7</v>
      </c>
      <c r="G44">
        <f t="shared" si="1"/>
        <v>2019</v>
      </c>
    </row>
    <row r="45" spans="1:7" x14ac:dyDescent="0.25">
      <c r="A45" s="2" t="s">
        <v>166</v>
      </c>
      <c r="B45" s="2" t="s">
        <v>72</v>
      </c>
      <c r="C45" s="2" t="s">
        <v>167</v>
      </c>
      <c r="D45" s="2" t="s">
        <v>168</v>
      </c>
      <c r="E45" s="3">
        <v>43673</v>
      </c>
      <c r="F45">
        <f t="shared" si="0"/>
        <v>7</v>
      </c>
      <c r="G45">
        <f t="shared" si="1"/>
        <v>2019</v>
      </c>
    </row>
    <row r="46" spans="1:7" x14ac:dyDescent="0.25">
      <c r="A46" s="2" t="s">
        <v>169</v>
      </c>
      <c r="B46" s="2" t="s">
        <v>170</v>
      </c>
      <c r="C46" s="2" t="s">
        <v>171</v>
      </c>
      <c r="D46" s="2" t="s">
        <v>145</v>
      </c>
      <c r="E46" s="3">
        <v>43673</v>
      </c>
      <c r="F46">
        <f t="shared" si="0"/>
        <v>7</v>
      </c>
      <c r="G46">
        <f t="shared" si="1"/>
        <v>2019</v>
      </c>
    </row>
    <row r="47" spans="1:7" x14ac:dyDescent="0.25">
      <c r="A47" s="2" t="s">
        <v>172</v>
      </c>
      <c r="B47" s="2" t="s">
        <v>173</v>
      </c>
      <c r="C47" s="2" t="s">
        <v>174</v>
      </c>
      <c r="D47" s="2" t="s">
        <v>175</v>
      </c>
      <c r="E47" s="3">
        <v>43673</v>
      </c>
      <c r="F47">
        <f t="shared" si="0"/>
        <v>7</v>
      </c>
      <c r="G47">
        <f t="shared" si="1"/>
        <v>2019</v>
      </c>
    </row>
    <row r="48" spans="1:7" x14ac:dyDescent="0.25">
      <c r="A48" s="2" t="s">
        <v>176</v>
      </c>
      <c r="B48" s="2" t="s">
        <v>177</v>
      </c>
      <c r="C48" s="2" t="s">
        <v>178</v>
      </c>
      <c r="D48" s="2" t="s">
        <v>179</v>
      </c>
      <c r="E48" s="3">
        <v>43673</v>
      </c>
      <c r="F48">
        <f t="shared" si="0"/>
        <v>7</v>
      </c>
      <c r="G48">
        <f t="shared" si="1"/>
        <v>2019</v>
      </c>
    </row>
    <row r="49" spans="1:7" x14ac:dyDescent="0.25">
      <c r="A49" s="2" t="s">
        <v>180</v>
      </c>
      <c r="B49" s="2" t="s">
        <v>181</v>
      </c>
      <c r="C49" s="2"/>
      <c r="D49" s="2"/>
      <c r="E49" s="3">
        <v>43673</v>
      </c>
      <c r="F49">
        <f t="shared" si="0"/>
        <v>7</v>
      </c>
      <c r="G49">
        <f t="shared" si="1"/>
        <v>2019</v>
      </c>
    </row>
    <row r="50" spans="1:7" x14ac:dyDescent="0.25">
      <c r="A50" s="2" t="s">
        <v>182</v>
      </c>
      <c r="B50" s="2" t="s">
        <v>183</v>
      </c>
      <c r="C50" s="2" t="s">
        <v>184</v>
      </c>
      <c r="D50" s="2" t="s">
        <v>185</v>
      </c>
      <c r="E50" s="3">
        <v>43672</v>
      </c>
      <c r="F50">
        <f t="shared" si="0"/>
        <v>7</v>
      </c>
      <c r="G50">
        <f t="shared" si="1"/>
        <v>2019</v>
      </c>
    </row>
    <row r="51" spans="1:7" ht="36" x14ac:dyDescent="0.25">
      <c r="A51" s="2" t="s">
        <v>186</v>
      </c>
      <c r="B51" s="2" t="s">
        <v>187</v>
      </c>
      <c r="C51" s="2" t="s">
        <v>61</v>
      </c>
      <c r="D51" s="2" t="s">
        <v>188</v>
      </c>
      <c r="E51" s="3">
        <v>43672</v>
      </c>
      <c r="F51">
        <f t="shared" si="0"/>
        <v>7</v>
      </c>
      <c r="G51">
        <f t="shared" si="1"/>
        <v>2019</v>
      </c>
    </row>
    <row r="52" spans="1:7" x14ac:dyDescent="0.25">
      <c r="A52" s="2" t="s">
        <v>36</v>
      </c>
      <c r="B52" s="2" t="s">
        <v>189</v>
      </c>
      <c r="C52" s="2" t="s">
        <v>190</v>
      </c>
      <c r="D52" s="2" t="s">
        <v>191</v>
      </c>
      <c r="E52" s="3">
        <v>43672</v>
      </c>
      <c r="F52">
        <f t="shared" si="0"/>
        <v>7</v>
      </c>
      <c r="G52">
        <f t="shared" si="1"/>
        <v>2019</v>
      </c>
    </row>
    <row r="53" spans="1:7" x14ac:dyDescent="0.25">
      <c r="A53" s="2" t="s">
        <v>192</v>
      </c>
      <c r="B53" s="2" t="s">
        <v>22</v>
      </c>
      <c r="C53" s="2" t="s">
        <v>69</v>
      </c>
      <c r="D53" s="2" t="s">
        <v>193</v>
      </c>
      <c r="E53" s="3">
        <v>43671</v>
      </c>
      <c r="F53">
        <f t="shared" si="0"/>
        <v>7</v>
      </c>
      <c r="G53">
        <f t="shared" si="1"/>
        <v>2019</v>
      </c>
    </row>
    <row r="54" spans="1:7" ht="24" x14ac:dyDescent="0.25">
      <c r="A54" s="2" t="s">
        <v>194</v>
      </c>
      <c r="B54" s="2" t="s">
        <v>195</v>
      </c>
      <c r="C54" s="2" t="s">
        <v>69</v>
      </c>
      <c r="D54" s="2" t="s">
        <v>196</v>
      </c>
      <c r="E54" s="3">
        <v>43671</v>
      </c>
      <c r="F54">
        <f t="shared" si="0"/>
        <v>7</v>
      </c>
      <c r="G54">
        <f t="shared" si="1"/>
        <v>2019</v>
      </c>
    </row>
    <row r="55" spans="1:7" x14ac:dyDescent="0.25">
      <c r="A55" s="2" t="s">
        <v>197</v>
      </c>
      <c r="B55" s="2" t="s">
        <v>68</v>
      </c>
      <c r="C55" s="2" t="s">
        <v>69</v>
      </c>
      <c r="D55" s="2" t="s">
        <v>168</v>
      </c>
      <c r="E55" s="3">
        <v>43671</v>
      </c>
      <c r="F55">
        <f t="shared" si="0"/>
        <v>7</v>
      </c>
      <c r="G55">
        <f t="shared" si="1"/>
        <v>2019</v>
      </c>
    </row>
    <row r="56" spans="1:7" x14ac:dyDescent="0.25">
      <c r="A56" s="2" t="s">
        <v>198</v>
      </c>
      <c r="B56" s="2" t="s">
        <v>199</v>
      </c>
      <c r="C56" s="2" t="s">
        <v>200</v>
      </c>
      <c r="D56" s="2" t="s">
        <v>201</v>
      </c>
      <c r="E56" s="3">
        <v>43671</v>
      </c>
      <c r="F56">
        <f t="shared" si="0"/>
        <v>7</v>
      </c>
      <c r="G56">
        <f t="shared" si="1"/>
        <v>2019</v>
      </c>
    </row>
    <row r="57" spans="1:7" x14ac:dyDescent="0.25">
      <c r="A57" s="2" t="s">
        <v>202</v>
      </c>
      <c r="B57" s="2" t="s">
        <v>203</v>
      </c>
      <c r="C57" s="2" t="s">
        <v>200</v>
      </c>
      <c r="D57" s="2" t="s">
        <v>204</v>
      </c>
      <c r="E57" s="3">
        <v>43671</v>
      </c>
      <c r="F57">
        <f t="shared" si="0"/>
        <v>7</v>
      </c>
      <c r="G57">
        <f t="shared" si="1"/>
        <v>2019</v>
      </c>
    </row>
    <row r="58" spans="1:7" x14ac:dyDescent="0.25">
      <c r="A58" s="2" t="s">
        <v>205</v>
      </c>
      <c r="B58" s="2" t="s">
        <v>68</v>
      </c>
      <c r="C58" s="2" t="s">
        <v>206</v>
      </c>
      <c r="D58" s="2" t="s">
        <v>207</v>
      </c>
      <c r="E58" s="3">
        <v>43670</v>
      </c>
      <c r="F58">
        <f t="shared" si="0"/>
        <v>7</v>
      </c>
      <c r="G58">
        <f t="shared" si="1"/>
        <v>2019</v>
      </c>
    </row>
    <row r="59" spans="1:7" x14ac:dyDescent="0.25">
      <c r="A59" s="2" t="s">
        <v>208</v>
      </c>
      <c r="B59" s="2" t="s">
        <v>209</v>
      </c>
      <c r="C59" s="2" t="s">
        <v>210</v>
      </c>
      <c r="D59" s="2" t="s">
        <v>211</v>
      </c>
      <c r="E59" s="3">
        <v>43670</v>
      </c>
      <c r="F59">
        <f t="shared" si="0"/>
        <v>7</v>
      </c>
      <c r="G59">
        <f t="shared" si="1"/>
        <v>2019</v>
      </c>
    </row>
    <row r="60" spans="1:7" ht="24" x14ac:dyDescent="0.25">
      <c r="A60" s="2" t="s">
        <v>212</v>
      </c>
      <c r="B60" s="2" t="s">
        <v>213</v>
      </c>
      <c r="C60" s="2" t="s">
        <v>214</v>
      </c>
      <c r="D60" s="2" t="s">
        <v>215</v>
      </c>
      <c r="E60" s="3">
        <v>43669</v>
      </c>
      <c r="F60">
        <f t="shared" si="0"/>
        <v>7</v>
      </c>
      <c r="G60">
        <f t="shared" si="1"/>
        <v>2019</v>
      </c>
    </row>
    <row r="61" spans="1:7" ht="24" x14ac:dyDescent="0.25">
      <c r="A61" s="2" t="s">
        <v>158</v>
      </c>
      <c r="B61" s="2" t="s">
        <v>216</v>
      </c>
      <c r="C61" s="2" t="s">
        <v>217</v>
      </c>
      <c r="D61" s="2" t="s">
        <v>218</v>
      </c>
      <c r="E61" s="3">
        <v>43668</v>
      </c>
      <c r="F61">
        <f t="shared" si="0"/>
        <v>7</v>
      </c>
      <c r="G61">
        <f t="shared" si="1"/>
        <v>2019</v>
      </c>
    </row>
    <row r="62" spans="1:7" x14ac:dyDescent="0.25">
      <c r="A62" s="2" t="s">
        <v>67</v>
      </c>
      <c r="B62" s="2" t="s">
        <v>219</v>
      </c>
      <c r="C62" s="2" t="s">
        <v>220</v>
      </c>
      <c r="D62" s="2" t="s">
        <v>221</v>
      </c>
      <c r="E62" s="3">
        <v>43667</v>
      </c>
      <c r="F62">
        <f t="shared" si="0"/>
        <v>7</v>
      </c>
      <c r="G62">
        <f t="shared" si="1"/>
        <v>2019</v>
      </c>
    </row>
    <row r="63" spans="1:7" ht="24" x14ac:dyDescent="0.25">
      <c r="A63" s="2" t="s">
        <v>222</v>
      </c>
      <c r="B63" s="2" t="s">
        <v>223</v>
      </c>
      <c r="C63" s="2" t="s">
        <v>224</v>
      </c>
      <c r="D63" s="2" t="s">
        <v>225</v>
      </c>
      <c r="E63" s="3">
        <v>43667</v>
      </c>
      <c r="F63">
        <f t="shared" si="0"/>
        <v>7</v>
      </c>
      <c r="G63">
        <f t="shared" si="1"/>
        <v>2019</v>
      </c>
    </row>
    <row r="64" spans="1:7" x14ac:dyDescent="0.25">
      <c r="A64" s="2" t="s">
        <v>226</v>
      </c>
      <c r="B64" s="2" t="s">
        <v>227</v>
      </c>
      <c r="C64" s="2" t="s">
        <v>11</v>
      </c>
      <c r="D64" s="2" t="s">
        <v>228</v>
      </c>
      <c r="E64" s="3">
        <v>43667</v>
      </c>
      <c r="F64">
        <f t="shared" si="0"/>
        <v>7</v>
      </c>
      <c r="G64">
        <f t="shared" si="1"/>
        <v>2019</v>
      </c>
    </row>
    <row r="65" spans="1:7" x14ac:dyDescent="0.25">
      <c r="A65" s="2" t="s">
        <v>133</v>
      </c>
      <c r="B65" s="2" t="s">
        <v>229</v>
      </c>
      <c r="C65" s="2" t="s">
        <v>230</v>
      </c>
      <c r="D65" s="2" t="s">
        <v>80</v>
      </c>
      <c r="E65" s="3">
        <v>43666</v>
      </c>
      <c r="F65">
        <f t="shared" si="0"/>
        <v>7</v>
      </c>
      <c r="G65">
        <f t="shared" si="1"/>
        <v>2019</v>
      </c>
    </row>
    <row r="66" spans="1:7" x14ac:dyDescent="0.25">
      <c r="A66" s="2" t="s">
        <v>231</v>
      </c>
      <c r="B66" s="2" t="s">
        <v>232</v>
      </c>
      <c r="C66" s="2" t="s">
        <v>206</v>
      </c>
      <c r="D66" s="2" t="s">
        <v>233</v>
      </c>
      <c r="E66" s="3">
        <v>43664</v>
      </c>
      <c r="F66">
        <f t="shared" si="0"/>
        <v>7</v>
      </c>
      <c r="G66">
        <f t="shared" si="1"/>
        <v>2019</v>
      </c>
    </row>
    <row r="67" spans="1:7" x14ac:dyDescent="0.25">
      <c r="A67" s="2" t="s">
        <v>234</v>
      </c>
      <c r="B67" s="2" t="s">
        <v>235</v>
      </c>
      <c r="C67" s="2" t="s">
        <v>236</v>
      </c>
      <c r="D67" s="2" t="s">
        <v>237</v>
      </c>
      <c r="E67" s="3">
        <v>43663</v>
      </c>
      <c r="F67">
        <f t="shared" ref="F67:F130" si="2">MONTH(E67)</f>
        <v>7</v>
      </c>
      <c r="G67">
        <f t="shared" ref="G67:G130" si="3">YEAR(E67)</f>
        <v>2019</v>
      </c>
    </row>
    <row r="68" spans="1:7" x14ac:dyDescent="0.25">
      <c r="A68" s="2" t="s">
        <v>238</v>
      </c>
      <c r="B68" s="2" t="s">
        <v>72</v>
      </c>
      <c r="C68" s="2" t="s">
        <v>206</v>
      </c>
      <c r="D68" s="2" t="s">
        <v>239</v>
      </c>
      <c r="E68" s="3">
        <v>43663</v>
      </c>
      <c r="F68">
        <f t="shared" si="2"/>
        <v>7</v>
      </c>
      <c r="G68">
        <f t="shared" si="3"/>
        <v>2019</v>
      </c>
    </row>
    <row r="69" spans="1:7" x14ac:dyDescent="0.25">
      <c r="A69" s="2" t="s">
        <v>240</v>
      </c>
      <c r="B69" s="2" t="s">
        <v>241</v>
      </c>
      <c r="C69" s="2" t="s">
        <v>242</v>
      </c>
      <c r="D69" s="2" t="s">
        <v>243</v>
      </c>
      <c r="E69" s="3">
        <v>43663</v>
      </c>
      <c r="F69">
        <f t="shared" si="2"/>
        <v>7</v>
      </c>
      <c r="G69">
        <f t="shared" si="3"/>
        <v>2019</v>
      </c>
    </row>
    <row r="70" spans="1:7" x14ac:dyDescent="0.25">
      <c r="A70" s="2" t="s">
        <v>244</v>
      </c>
      <c r="B70" s="2" t="s">
        <v>101</v>
      </c>
      <c r="C70" s="2" t="s">
        <v>91</v>
      </c>
      <c r="D70" s="2" t="s">
        <v>245</v>
      </c>
      <c r="E70" s="3">
        <v>43662</v>
      </c>
      <c r="F70">
        <f t="shared" si="2"/>
        <v>7</v>
      </c>
      <c r="G70">
        <f t="shared" si="3"/>
        <v>2019</v>
      </c>
    </row>
    <row r="71" spans="1:7" x14ac:dyDescent="0.25">
      <c r="A71" s="2" t="s">
        <v>133</v>
      </c>
      <c r="B71" s="2" t="s">
        <v>246</v>
      </c>
      <c r="C71" s="2" t="s">
        <v>247</v>
      </c>
      <c r="D71" s="2" t="s">
        <v>248</v>
      </c>
      <c r="E71" s="3">
        <v>43661</v>
      </c>
      <c r="F71">
        <f t="shared" si="2"/>
        <v>7</v>
      </c>
      <c r="G71">
        <f t="shared" si="3"/>
        <v>2019</v>
      </c>
    </row>
    <row r="72" spans="1:7" ht="24" x14ac:dyDescent="0.25">
      <c r="A72" s="2" t="s">
        <v>249</v>
      </c>
      <c r="B72" s="2" t="s">
        <v>250</v>
      </c>
      <c r="C72" s="2" t="s">
        <v>251</v>
      </c>
      <c r="D72" s="2" t="s">
        <v>252</v>
      </c>
      <c r="E72" s="3">
        <v>43661</v>
      </c>
      <c r="F72">
        <f t="shared" si="2"/>
        <v>7</v>
      </c>
      <c r="G72">
        <f t="shared" si="3"/>
        <v>2019</v>
      </c>
    </row>
    <row r="73" spans="1:7" x14ac:dyDescent="0.25">
      <c r="A73" s="2" t="s">
        <v>253</v>
      </c>
      <c r="B73" s="2" t="s">
        <v>254</v>
      </c>
      <c r="C73" s="2" t="s">
        <v>255</v>
      </c>
      <c r="D73" s="2" t="s">
        <v>256</v>
      </c>
      <c r="E73" s="3">
        <v>43661</v>
      </c>
      <c r="F73">
        <f t="shared" si="2"/>
        <v>7</v>
      </c>
      <c r="G73">
        <f t="shared" si="3"/>
        <v>2019</v>
      </c>
    </row>
    <row r="74" spans="1:7" ht="24" x14ac:dyDescent="0.25">
      <c r="A74" s="2" t="s">
        <v>257</v>
      </c>
      <c r="B74" s="2" t="s">
        <v>258</v>
      </c>
      <c r="C74" s="2" t="s">
        <v>259</v>
      </c>
      <c r="D74" s="2" t="s">
        <v>260</v>
      </c>
      <c r="E74" s="3">
        <v>43661</v>
      </c>
      <c r="F74">
        <f t="shared" si="2"/>
        <v>7</v>
      </c>
      <c r="G74">
        <f t="shared" si="3"/>
        <v>2019</v>
      </c>
    </row>
    <row r="75" spans="1:7" x14ac:dyDescent="0.25">
      <c r="A75" s="2" t="s">
        <v>261</v>
      </c>
      <c r="B75" s="2" t="s">
        <v>262</v>
      </c>
      <c r="C75" s="2" t="s">
        <v>91</v>
      </c>
      <c r="D75" s="2" t="s">
        <v>263</v>
      </c>
      <c r="E75" s="3">
        <v>43660</v>
      </c>
      <c r="F75">
        <f t="shared" si="2"/>
        <v>7</v>
      </c>
      <c r="G75">
        <f t="shared" si="3"/>
        <v>2019</v>
      </c>
    </row>
    <row r="76" spans="1:7" x14ac:dyDescent="0.25">
      <c r="A76" s="2" t="s">
        <v>264</v>
      </c>
      <c r="B76" s="2" t="s">
        <v>265</v>
      </c>
      <c r="C76" s="2" t="s">
        <v>266</v>
      </c>
      <c r="D76" s="2" t="s">
        <v>267</v>
      </c>
      <c r="E76" s="3">
        <v>43660</v>
      </c>
      <c r="F76">
        <f t="shared" si="2"/>
        <v>7</v>
      </c>
      <c r="G76">
        <f t="shared" si="3"/>
        <v>2019</v>
      </c>
    </row>
    <row r="77" spans="1:7" x14ac:dyDescent="0.25">
      <c r="A77" s="2" t="s">
        <v>268</v>
      </c>
      <c r="B77" s="2" t="s">
        <v>269</v>
      </c>
      <c r="C77" s="2" t="s">
        <v>270</v>
      </c>
      <c r="D77" s="2" t="s">
        <v>271</v>
      </c>
      <c r="E77" s="3">
        <v>43660</v>
      </c>
      <c r="F77">
        <f t="shared" si="2"/>
        <v>7</v>
      </c>
      <c r="G77">
        <f t="shared" si="3"/>
        <v>2019</v>
      </c>
    </row>
    <row r="78" spans="1:7" x14ac:dyDescent="0.25">
      <c r="A78" s="2" t="s">
        <v>272</v>
      </c>
      <c r="B78" s="2" t="s">
        <v>273</v>
      </c>
      <c r="C78" s="2" t="s">
        <v>274</v>
      </c>
      <c r="D78" s="2" t="s">
        <v>275</v>
      </c>
      <c r="E78" s="3">
        <v>43660</v>
      </c>
      <c r="F78">
        <f t="shared" si="2"/>
        <v>7</v>
      </c>
      <c r="G78">
        <f t="shared" si="3"/>
        <v>2019</v>
      </c>
    </row>
    <row r="79" spans="1:7" x14ac:dyDescent="0.25">
      <c r="A79" s="2" t="s">
        <v>276</v>
      </c>
      <c r="B79" s="2" t="s">
        <v>277</v>
      </c>
      <c r="C79" s="2" t="s">
        <v>278</v>
      </c>
      <c r="D79" s="2" t="s">
        <v>279</v>
      </c>
      <c r="E79" s="3">
        <v>43660</v>
      </c>
      <c r="F79">
        <f t="shared" si="2"/>
        <v>7</v>
      </c>
      <c r="G79">
        <f t="shared" si="3"/>
        <v>2019</v>
      </c>
    </row>
    <row r="80" spans="1:7" x14ac:dyDescent="0.25">
      <c r="A80" s="2" t="s">
        <v>280</v>
      </c>
      <c r="B80" s="2" t="s">
        <v>281</v>
      </c>
      <c r="C80" s="2" t="s">
        <v>282</v>
      </c>
      <c r="D80" s="2" t="s">
        <v>283</v>
      </c>
      <c r="E80" s="3">
        <v>43660</v>
      </c>
      <c r="F80">
        <f t="shared" si="2"/>
        <v>7</v>
      </c>
      <c r="G80">
        <f t="shared" si="3"/>
        <v>2019</v>
      </c>
    </row>
    <row r="81" spans="1:7" x14ac:dyDescent="0.25">
      <c r="A81" s="2" t="s">
        <v>284</v>
      </c>
      <c r="B81" s="2" t="s">
        <v>285</v>
      </c>
      <c r="C81" s="2" t="s">
        <v>286</v>
      </c>
      <c r="D81" s="2" t="s">
        <v>287</v>
      </c>
      <c r="E81" s="3">
        <v>43659</v>
      </c>
      <c r="F81">
        <f t="shared" si="2"/>
        <v>7</v>
      </c>
      <c r="G81">
        <f t="shared" si="3"/>
        <v>2019</v>
      </c>
    </row>
    <row r="82" spans="1:7" ht="24" x14ac:dyDescent="0.25">
      <c r="A82" s="2" t="s">
        <v>288</v>
      </c>
      <c r="B82" s="2" t="s">
        <v>289</v>
      </c>
      <c r="C82" s="2" t="s">
        <v>290</v>
      </c>
      <c r="D82" s="2" t="s">
        <v>114</v>
      </c>
      <c r="E82" s="3">
        <v>43659</v>
      </c>
      <c r="F82">
        <f t="shared" si="2"/>
        <v>7</v>
      </c>
      <c r="G82">
        <f t="shared" si="3"/>
        <v>2019</v>
      </c>
    </row>
    <row r="83" spans="1:7" x14ac:dyDescent="0.25">
      <c r="A83" s="2" t="s">
        <v>67</v>
      </c>
      <c r="B83" s="2" t="s">
        <v>291</v>
      </c>
      <c r="C83" s="2" t="s">
        <v>292</v>
      </c>
      <c r="D83" s="2" t="s">
        <v>293</v>
      </c>
      <c r="E83" s="3">
        <v>43658</v>
      </c>
      <c r="F83">
        <f t="shared" si="2"/>
        <v>7</v>
      </c>
      <c r="G83">
        <f t="shared" si="3"/>
        <v>2019</v>
      </c>
    </row>
    <row r="84" spans="1:7" x14ac:dyDescent="0.25">
      <c r="A84" s="2" t="s">
        <v>294</v>
      </c>
      <c r="B84" s="2" t="s">
        <v>295</v>
      </c>
      <c r="C84" s="2" t="s">
        <v>296</v>
      </c>
      <c r="D84" s="2" t="s">
        <v>297</v>
      </c>
      <c r="E84" s="3">
        <v>43658</v>
      </c>
      <c r="F84">
        <f t="shared" si="2"/>
        <v>7</v>
      </c>
      <c r="G84">
        <f t="shared" si="3"/>
        <v>2019</v>
      </c>
    </row>
    <row r="85" spans="1:7" x14ac:dyDescent="0.25">
      <c r="A85" s="2" t="s">
        <v>298</v>
      </c>
      <c r="B85" s="2" t="s">
        <v>299</v>
      </c>
      <c r="C85" s="2" t="s">
        <v>300</v>
      </c>
      <c r="D85" s="2" t="s">
        <v>301</v>
      </c>
      <c r="E85" s="3">
        <v>43657</v>
      </c>
      <c r="F85">
        <f t="shared" si="2"/>
        <v>7</v>
      </c>
      <c r="G85">
        <f t="shared" si="3"/>
        <v>2019</v>
      </c>
    </row>
    <row r="86" spans="1:7" x14ac:dyDescent="0.25">
      <c r="A86" s="2" t="s">
        <v>302</v>
      </c>
      <c r="B86" s="2" t="s">
        <v>303</v>
      </c>
      <c r="C86" s="2" t="s">
        <v>140</v>
      </c>
      <c r="D86" s="2" t="s">
        <v>304</v>
      </c>
      <c r="E86" s="3">
        <v>43656</v>
      </c>
      <c r="F86">
        <f t="shared" si="2"/>
        <v>7</v>
      </c>
      <c r="G86">
        <f t="shared" si="3"/>
        <v>2019</v>
      </c>
    </row>
    <row r="87" spans="1:7" x14ac:dyDescent="0.25">
      <c r="A87" s="2" t="s">
        <v>305</v>
      </c>
      <c r="B87" s="2" t="s">
        <v>306</v>
      </c>
      <c r="C87" s="2" t="s">
        <v>307</v>
      </c>
      <c r="D87" s="2" t="s">
        <v>308</v>
      </c>
      <c r="E87" s="3">
        <v>43656</v>
      </c>
      <c r="F87">
        <f t="shared" si="2"/>
        <v>7</v>
      </c>
      <c r="G87">
        <f t="shared" si="3"/>
        <v>2019</v>
      </c>
    </row>
    <row r="88" spans="1:7" x14ac:dyDescent="0.25">
      <c r="A88" s="2" t="s">
        <v>294</v>
      </c>
      <c r="B88" s="2" t="s">
        <v>309</v>
      </c>
      <c r="C88" s="2" t="s">
        <v>310</v>
      </c>
      <c r="D88" s="2" t="s">
        <v>311</v>
      </c>
      <c r="E88" s="3">
        <v>43655</v>
      </c>
      <c r="F88">
        <f t="shared" si="2"/>
        <v>7</v>
      </c>
      <c r="G88">
        <f t="shared" si="3"/>
        <v>2019</v>
      </c>
    </row>
    <row r="89" spans="1:7" x14ac:dyDescent="0.25">
      <c r="A89" s="2" t="s">
        <v>312</v>
      </c>
      <c r="B89" s="2" t="s">
        <v>22</v>
      </c>
      <c r="C89" s="2" t="s">
        <v>313</v>
      </c>
      <c r="D89" s="2" t="s">
        <v>314</v>
      </c>
      <c r="E89" s="3">
        <v>43655</v>
      </c>
      <c r="F89">
        <f t="shared" si="2"/>
        <v>7</v>
      </c>
      <c r="G89">
        <f t="shared" si="3"/>
        <v>2019</v>
      </c>
    </row>
    <row r="90" spans="1:7" x14ac:dyDescent="0.25">
      <c r="A90" s="2" t="s">
        <v>315</v>
      </c>
      <c r="B90" s="2" t="s">
        <v>316</v>
      </c>
      <c r="C90" s="2" t="s">
        <v>296</v>
      </c>
      <c r="D90" s="2" t="s">
        <v>317</v>
      </c>
      <c r="E90" s="3">
        <v>43655</v>
      </c>
      <c r="F90">
        <f t="shared" si="2"/>
        <v>7</v>
      </c>
      <c r="G90">
        <f t="shared" si="3"/>
        <v>2019</v>
      </c>
    </row>
    <row r="91" spans="1:7" x14ac:dyDescent="0.25">
      <c r="A91" s="2" t="s">
        <v>318</v>
      </c>
      <c r="B91" s="2" t="s">
        <v>319</v>
      </c>
      <c r="C91" s="2" t="s">
        <v>320</v>
      </c>
      <c r="D91" s="2" t="s">
        <v>321</v>
      </c>
      <c r="E91" s="3">
        <v>43655</v>
      </c>
      <c r="F91">
        <f t="shared" si="2"/>
        <v>7</v>
      </c>
      <c r="G91">
        <f t="shared" si="3"/>
        <v>2019</v>
      </c>
    </row>
    <row r="92" spans="1:7" x14ac:dyDescent="0.25">
      <c r="A92" s="2" t="s">
        <v>322</v>
      </c>
      <c r="B92" s="2" t="s">
        <v>323</v>
      </c>
      <c r="C92" s="2" t="s">
        <v>324</v>
      </c>
      <c r="D92" s="2" t="s">
        <v>325</v>
      </c>
      <c r="E92" s="3">
        <v>43654</v>
      </c>
      <c r="F92">
        <f t="shared" si="2"/>
        <v>7</v>
      </c>
      <c r="G92">
        <f t="shared" si="3"/>
        <v>2019</v>
      </c>
    </row>
    <row r="93" spans="1:7" x14ac:dyDescent="0.25">
      <c r="A93" s="2" t="s">
        <v>326</v>
      </c>
      <c r="B93" s="2" t="s">
        <v>327</v>
      </c>
      <c r="C93" s="2" t="s">
        <v>328</v>
      </c>
      <c r="D93" s="2" t="s">
        <v>74</v>
      </c>
      <c r="E93" s="3">
        <v>43651</v>
      </c>
      <c r="F93">
        <f t="shared" si="2"/>
        <v>7</v>
      </c>
      <c r="G93">
        <f t="shared" si="3"/>
        <v>2019</v>
      </c>
    </row>
    <row r="94" spans="1:7" x14ac:dyDescent="0.25">
      <c r="A94" s="2" t="s">
        <v>329</v>
      </c>
      <c r="B94" s="2" t="s">
        <v>330</v>
      </c>
      <c r="C94" s="2" t="s">
        <v>331</v>
      </c>
      <c r="D94" s="2" t="s">
        <v>332</v>
      </c>
      <c r="E94" s="3">
        <v>43651</v>
      </c>
      <c r="F94">
        <f t="shared" si="2"/>
        <v>7</v>
      </c>
      <c r="G94">
        <f t="shared" si="3"/>
        <v>2019</v>
      </c>
    </row>
    <row r="95" spans="1:7" x14ac:dyDescent="0.25">
      <c r="A95" s="2" t="s">
        <v>333</v>
      </c>
      <c r="B95" s="2" t="s">
        <v>334</v>
      </c>
      <c r="C95" s="2" t="s">
        <v>335</v>
      </c>
      <c r="D95" s="2" t="s">
        <v>336</v>
      </c>
      <c r="E95" s="3">
        <v>43651</v>
      </c>
      <c r="F95">
        <f t="shared" si="2"/>
        <v>7</v>
      </c>
      <c r="G95">
        <f t="shared" si="3"/>
        <v>2019</v>
      </c>
    </row>
    <row r="96" spans="1:7" x14ac:dyDescent="0.25">
      <c r="A96" s="2" t="s">
        <v>337</v>
      </c>
      <c r="B96" s="2" t="s">
        <v>68</v>
      </c>
      <c r="C96" s="2" t="s">
        <v>338</v>
      </c>
      <c r="D96" s="2" t="s">
        <v>339</v>
      </c>
      <c r="E96" s="3">
        <v>43645</v>
      </c>
      <c r="F96">
        <f t="shared" si="2"/>
        <v>6</v>
      </c>
      <c r="G96">
        <f t="shared" si="3"/>
        <v>2019</v>
      </c>
    </row>
    <row r="97" spans="1:7" x14ac:dyDescent="0.25">
      <c r="A97" s="2" t="s">
        <v>298</v>
      </c>
      <c r="B97" s="2" t="s">
        <v>340</v>
      </c>
      <c r="C97" s="2" t="s">
        <v>174</v>
      </c>
      <c r="D97" s="2" t="s">
        <v>341</v>
      </c>
      <c r="E97" s="3">
        <v>43645</v>
      </c>
      <c r="F97">
        <f t="shared" si="2"/>
        <v>6</v>
      </c>
      <c r="G97">
        <f t="shared" si="3"/>
        <v>2019</v>
      </c>
    </row>
    <row r="98" spans="1:7" x14ac:dyDescent="0.25">
      <c r="A98" s="2" t="s">
        <v>342</v>
      </c>
      <c r="B98" s="2" t="s">
        <v>343</v>
      </c>
      <c r="C98" s="2" t="s">
        <v>23</v>
      </c>
      <c r="D98" s="2" t="s">
        <v>344</v>
      </c>
      <c r="E98" s="3">
        <v>43644</v>
      </c>
      <c r="F98">
        <f t="shared" si="2"/>
        <v>6</v>
      </c>
      <c r="G98">
        <f t="shared" si="3"/>
        <v>2019</v>
      </c>
    </row>
    <row r="99" spans="1:7" x14ac:dyDescent="0.25">
      <c r="A99" s="2" t="s">
        <v>345</v>
      </c>
      <c r="B99" s="2" t="s">
        <v>346</v>
      </c>
      <c r="C99" s="2" t="s">
        <v>347</v>
      </c>
      <c r="D99" s="2" t="s">
        <v>348</v>
      </c>
      <c r="E99" s="3">
        <v>43642</v>
      </c>
      <c r="F99">
        <f t="shared" si="2"/>
        <v>6</v>
      </c>
      <c r="G99">
        <f t="shared" si="3"/>
        <v>2019</v>
      </c>
    </row>
    <row r="100" spans="1:7" x14ac:dyDescent="0.25">
      <c r="A100" s="2" t="s">
        <v>349</v>
      </c>
      <c r="B100" s="2" t="s">
        <v>350</v>
      </c>
      <c r="C100" s="2" t="s">
        <v>351</v>
      </c>
      <c r="D100" s="2" t="s">
        <v>352</v>
      </c>
      <c r="E100" s="3">
        <v>43641</v>
      </c>
      <c r="F100">
        <f t="shared" si="2"/>
        <v>6</v>
      </c>
      <c r="G100">
        <f t="shared" si="3"/>
        <v>2019</v>
      </c>
    </row>
    <row r="101" spans="1:7" ht="24" x14ac:dyDescent="0.25">
      <c r="A101" s="2" t="s">
        <v>353</v>
      </c>
      <c r="B101" s="2" t="s">
        <v>101</v>
      </c>
      <c r="C101" s="2" t="s">
        <v>354</v>
      </c>
      <c r="D101" s="2" t="s">
        <v>193</v>
      </c>
      <c r="E101" s="3">
        <v>43640</v>
      </c>
      <c r="F101">
        <f t="shared" si="2"/>
        <v>6</v>
      </c>
      <c r="G101">
        <f t="shared" si="3"/>
        <v>2019</v>
      </c>
    </row>
    <row r="102" spans="1:7" x14ac:dyDescent="0.25">
      <c r="A102" s="2" t="s">
        <v>355</v>
      </c>
      <c r="B102" s="2" t="s">
        <v>356</v>
      </c>
      <c r="C102" s="2" t="s">
        <v>27</v>
      </c>
      <c r="D102" s="2" t="s">
        <v>357</v>
      </c>
      <c r="E102" s="3">
        <v>43640</v>
      </c>
      <c r="F102">
        <f t="shared" si="2"/>
        <v>6</v>
      </c>
      <c r="G102">
        <f t="shared" si="3"/>
        <v>2019</v>
      </c>
    </row>
    <row r="103" spans="1:7" x14ac:dyDescent="0.25">
      <c r="A103" s="2" t="s">
        <v>358</v>
      </c>
      <c r="B103" s="2" t="s">
        <v>359</v>
      </c>
      <c r="C103" s="2" t="s">
        <v>360</v>
      </c>
      <c r="D103" s="2" t="s">
        <v>361</v>
      </c>
      <c r="E103" s="3">
        <v>43637</v>
      </c>
      <c r="F103">
        <f t="shared" si="2"/>
        <v>6</v>
      </c>
      <c r="G103">
        <f t="shared" si="3"/>
        <v>2019</v>
      </c>
    </row>
    <row r="104" spans="1:7" x14ac:dyDescent="0.25">
      <c r="A104" s="2" t="s">
        <v>362</v>
      </c>
      <c r="B104" s="2" t="s">
        <v>363</v>
      </c>
      <c r="C104" s="2" t="s">
        <v>364</v>
      </c>
      <c r="D104" s="2" t="s">
        <v>365</v>
      </c>
      <c r="E104" s="3">
        <v>43636</v>
      </c>
      <c r="F104">
        <f t="shared" si="2"/>
        <v>6</v>
      </c>
      <c r="G104">
        <f t="shared" si="3"/>
        <v>2019</v>
      </c>
    </row>
    <row r="105" spans="1:7" x14ac:dyDescent="0.25">
      <c r="A105" s="2" t="s">
        <v>366</v>
      </c>
      <c r="B105" s="2" t="s">
        <v>367</v>
      </c>
      <c r="C105" s="2" t="s">
        <v>368</v>
      </c>
      <c r="D105" s="2" t="s">
        <v>369</v>
      </c>
      <c r="E105" s="3">
        <v>43636</v>
      </c>
      <c r="F105">
        <f t="shared" si="2"/>
        <v>6</v>
      </c>
      <c r="G105">
        <f t="shared" si="3"/>
        <v>2019</v>
      </c>
    </row>
    <row r="106" spans="1:7" x14ac:dyDescent="0.25">
      <c r="A106" s="2" t="s">
        <v>370</v>
      </c>
      <c r="B106" s="2" t="s">
        <v>371</v>
      </c>
      <c r="C106" s="2" t="s">
        <v>372</v>
      </c>
      <c r="D106" s="2" t="s">
        <v>373</v>
      </c>
      <c r="E106" s="3">
        <v>43635</v>
      </c>
      <c r="F106">
        <f t="shared" si="2"/>
        <v>6</v>
      </c>
      <c r="G106">
        <f t="shared" si="3"/>
        <v>2019</v>
      </c>
    </row>
    <row r="107" spans="1:7" x14ac:dyDescent="0.25">
      <c r="A107" s="2" t="s">
        <v>374</v>
      </c>
      <c r="B107" s="2" t="s">
        <v>375</v>
      </c>
      <c r="C107" s="2" t="s">
        <v>376</v>
      </c>
      <c r="D107" s="2" t="s">
        <v>377</v>
      </c>
      <c r="E107" s="3">
        <v>43634</v>
      </c>
      <c r="F107">
        <f t="shared" si="2"/>
        <v>6</v>
      </c>
      <c r="G107">
        <f t="shared" si="3"/>
        <v>2019</v>
      </c>
    </row>
    <row r="108" spans="1:7" x14ac:dyDescent="0.25">
      <c r="A108" s="2" t="s">
        <v>378</v>
      </c>
      <c r="B108" s="2" t="s">
        <v>379</v>
      </c>
      <c r="C108" s="2" t="s">
        <v>65</v>
      </c>
      <c r="D108" s="2" t="s">
        <v>380</v>
      </c>
      <c r="E108" s="3">
        <v>43634</v>
      </c>
      <c r="F108">
        <f t="shared" si="2"/>
        <v>6</v>
      </c>
      <c r="G108">
        <f t="shared" si="3"/>
        <v>2019</v>
      </c>
    </row>
    <row r="109" spans="1:7" x14ac:dyDescent="0.25">
      <c r="A109" s="2" t="s">
        <v>21</v>
      </c>
      <c r="B109" s="2" t="s">
        <v>381</v>
      </c>
      <c r="C109" s="2" t="s">
        <v>91</v>
      </c>
      <c r="D109" s="2" t="s">
        <v>279</v>
      </c>
      <c r="E109" s="3">
        <v>43631</v>
      </c>
      <c r="F109">
        <f t="shared" si="2"/>
        <v>6</v>
      </c>
      <c r="G109">
        <f t="shared" si="3"/>
        <v>2019</v>
      </c>
    </row>
    <row r="110" spans="1:7" x14ac:dyDescent="0.25">
      <c r="A110" s="2" t="s">
        <v>382</v>
      </c>
      <c r="B110" s="2" t="s">
        <v>383</v>
      </c>
      <c r="C110" s="2" t="s">
        <v>117</v>
      </c>
      <c r="D110" s="2" t="s">
        <v>384</v>
      </c>
      <c r="E110" s="3">
        <v>43631</v>
      </c>
      <c r="F110">
        <f t="shared" si="2"/>
        <v>6</v>
      </c>
      <c r="G110">
        <f t="shared" si="3"/>
        <v>2019</v>
      </c>
    </row>
    <row r="111" spans="1:7" x14ac:dyDescent="0.25">
      <c r="A111" s="2" t="s">
        <v>385</v>
      </c>
      <c r="B111" s="2" t="s">
        <v>386</v>
      </c>
      <c r="C111" s="2" t="s">
        <v>387</v>
      </c>
      <c r="D111" s="2" t="s">
        <v>388</v>
      </c>
      <c r="E111" s="3">
        <v>43629</v>
      </c>
      <c r="F111">
        <f t="shared" si="2"/>
        <v>6</v>
      </c>
      <c r="G111">
        <f t="shared" si="3"/>
        <v>2019</v>
      </c>
    </row>
    <row r="112" spans="1:7" x14ac:dyDescent="0.25">
      <c r="A112" s="2" t="s">
        <v>389</v>
      </c>
      <c r="B112" s="2" t="s">
        <v>390</v>
      </c>
      <c r="C112" s="2" t="s">
        <v>391</v>
      </c>
      <c r="D112" s="2" t="s">
        <v>392</v>
      </c>
      <c r="E112" s="3">
        <v>43629</v>
      </c>
      <c r="F112">
        <f t="shared" si="2"/>
        <v>6</v>
      </c>
      <c r="G112">
        <f t="shared" si="3"/>
        <v>2019</v>
      </c>
    </row>
    <row r="113" spans="1:7" x14ac:dyDescent="0.25">
      <c r="A113" s="2" t="s">
        <v>393</v>
      </c>
      <c r="B113" s="2" t="s">
        <v>101</v>
      </c>
      <c r="C113" s="2" t="s">
        <v>394</v>
      </c>
      <c r="D113" s="2" t="s">
        <v>395</v>
      </c>
      <c r="E113" s="3">
        <v>43629</v>
      </c>
      <c r="F113">
        <f t="shared" si="2"/>
        <v>6</v>
      </c>
      <c r="G113">
        <f t="shared" si="3"/>
        <v>2019</v>
      </c>
    </row>
    <row r="114" spans="1:7" x14ac:dyDescent="0.25">
      <c r="A114" s="2" t="s">
        <v>396</v>
      </c>
      <c r="B114" s="2" t="s">
        <v>397</v>
      </c>
      <c r="C114" s="2" t="s">
        <v>398</v>
      </c>
      <c r="D114" s="2" t="s">
        <v>24</v>
      </c>
      <c r="E114" s="3">
        <v>43628</v>
      </c>
      <c r="F114">
        <f t="shared" si="2"/>
        <v>6</v>
      </c>
      <c r="G114">
        <f t="shared" si="3"/>
        <v>2019</v>
      </c>
    </row>
    <row r="115" spans="1:7" x14ac:dyDescent="0.25">
      <c r="A115" s="2" t="s">
        <v>399</v>
      </c>
      <c r="B115" s="2" t="s">
        <v>400</v>
      </c>
      <c r="C115" s="2" t="s">
        <v>401</v>
      </c>
      <c r="D115" s="2" t="s">
        <v>402</v>
      </c>
      <c r="E115" s="3">
        <v>43625</v>
      </c>
      <c r="F115">
        <f t="shared" si="2"/>
        <v>6</v>
      </c>
      <c r="G115">
        <f t="shared" si="3"/>
        <v>2019</v>
      </c>
    </row>
    <row r="116" spans="1:7" x14ac:dyDescent="0.25">
      <c r="A116" s="2" t="s">
        <v>403</v>
      </c>
      <c r="B116" s="2" t="s">
        <v>404</v>
      </c>
      <c r="C116" s="2" t="s">
        <v>405</v>
      </c>
      <c r="D116" s="2" t="s">
        <v>168</v>
      </c>
      <c r="E116" s="3">
        <v>43625</v>
      </c>
      <c r="F116">
        <f t="shared" si="2"/>
        <v>6</v>
      </c>
      <c r="G116">
        <f t="shared" si="3"/>
        <v>2019</v>
      </c>
    </row>
    <row r="117" spans="1:7" ht="24" x14ac:dyDescent="0.25">
      <c r="A117" s="2" t="s">
        <v>406</v>
      </c>
      <c r="B117" s="2" t="s">
        <v>232</v>
      </c>
      <c r="C117" s="2" t="s">
        <v>407</v>
      </c>
      <c r="D117" s="2" t="s">
        <v>408</v>
      </c>
      <c r="E117" s="3">
        <v>43623</v>
      </c>
      <c r="F117">
        <f t="shared" si="2"/>
        <v>6</v>
      </c>
      <c r="G117">
        <f t="shared" si="3"/>
        <v>2019</v>
      </c>
    </row>
    <row r="118" spans="1:7" x14ac:dyDescent="0.25">
      <c r="A118" s="2" t="s">
        <v>21</v>
      </c>
      <c r="B118" s="2" t="s">
        <v>409</v>
      </c>
      <c r="C118" s="2" t="s">
        <v>410</v>
      </c>
      <c r="D118" s="2" t="s">
        <v>411</v>
      </c>
      <c r="E118" s="3">
        <v>43623</v>
      </c>
      <c r="F118">
        <f t="shared" si="2"/>
        <v>6</v>
      </c>
      <c r="G118">
        <f t="shared" si="3"/>
        <v>2019</v>
      </c>
    </row>
    <row r="119" spans="1:7" ht="36" x14ac:dyDescent="0.25">
      <c r="A119" s="2" t="s">
        <v>412</v>
      </c>
      <c r="B119" s="2" t="s">
        <v>413</v>
      </c>
      <c r="C119" s="2" t="s">
        <v>414</v>
      </c>
      <c r="D119" s="2" t="s">
        <v>415</v>
      </c>
      <c r="E119" s="3">
        <v>43622</v>
      </c>
      <c r="F119">
        <f t="shared" si="2"/>
        <v>6</v>
      </c>
      <c r="G119">
        <f t="shared" si="3"/>
        <v>2019</v>
      </c>
    </row>
    <row r="120" spans="1:7" x14ac:dyDescent="0.25">
      <c r="A120" s="2" t="s">
        <v>416</v>
      </c>
      <c r="B120" s="2" t="s">
        <v>417</v>
      </c>
      <c r="C120" s="2" t="s">
        <v>418</v>
      </c>
      <c r="D120" s="2" t="s">
        <v>419</v>
      </c>
      <c r="E120" s="3">
        <v>43622</v>
      </c>
      <c r="F120">
        <f t="shared" si="2"/>
        <v>6</v>
      </c>
      <c r="G120">
        <f t="shared" si="3"/>
        <v>2019</v>
      </c>
    </row>
    <row r="121" spans="1:7" x14ac:dyDescent="0.25">
      <c r="A121" s="2" t="s">
        <v>420</v>
      </c>
      <c r="B121" s="2" t="s">
        <v>421</v>
      </c>
      <c r="C121" s="2" t="s">
        <v>422</v>
      </c>
      <c r="D121" s="2" t="s">
        <v>423</v>
      </c>
      <c r="E121" s="3">
        <v>43619</v>
      </c>
      <c r="F121">
        <f t="shared" si="2"/>
        <v>6</v>
      </c>
      <c r="G121">
        <f t="shared" si="3"/>
        <v>2019</v>
      </c>
    </row>
    <row r="122" spans="1:7" x14ac:dyDescent="0.25">
      <c r="A122" s="2" t="s">
        <v>424</v>
      </c>
      <c r="B122" s="2" t="s">
        <v>425</v>
      </c>
      <c r="C122" s="2" t="s">
        <v>11</v>
      </c>
      <c r="D122" s="2" t="s">
        <v>426</v>
      </c>
      <c r="E122" s="3">
        <v>43619</v>
      </c>
      <c r="F122">
        <f t="shared" si="2"/>
        <v>6</v>
      </c>
      <c r="G122">
        <f t="shared" si="3"/>
        <v>2019</v>
      </c>
    </row>
    <row r="123" spans="1:7" x14ac:dyDescent="0.25">
      <c r="A123" s="2" t="s">
        <v>427</v>
      </c>
      <c r="B123" s="2" t="s">
        <v>428</v>
      </c>
      <c r="C123" s="2" t="s">
        <v>429</v>
      </c>
      <c r="D123" s="2" t="s">
        <v>430</v>
      </c>
      <c r="E123" s="3">
        <v>43619</v>
      </c>
      <c r="F123">
        <f t="shared" si="2"/>
        <v>6</v>
      </c>
      <c r="G123">
        <f t="shared" si="3"/>
        <v>2019</v>
      </c>
    </row>
    <row r="124" spans="1:7" ht="36" x14ac:dyDescent="0.25">
      <c r="A124" s="2" t="s">
        <v>431</v>
      </c>
      <c r="B124" s="2" t="s">
        <v>432</v>
      </c>
      <c r="C124" s="2" t="s">
        <v>433</v>
      </c>
      <c r="D124" s="2" t="s">
        <v>434</v>
      </c>
      <c r="E124" s="3">
        <v>43617</v>
      </c>
      <c r="F124">
        <f t="shared" si="2"/>
        <v>6</v>
      </c>
      <c r="G124">
        <f t="shared" si="3"/>
        <v>2019</v>
      </c>
    </row>
    <row r="125" spans="1:7" x14ac:dyDescent="0.25">
      <c r="A125" s="2" t="s">
        <v>435</v>
      </c>
      <c r="B125" s="2" t="s">
        <v>436</v>
      </c>
      <c r="C125" s="2" t="s">
        <v>437</v>
      </c>
      <c r="D125" s="2" t="s">
        <v>438</v>
      </c>
      <c r="E125" s="3">
        <v>43617</v>
      </c>
      <c r="F125">
        <f t="shared" si="2"/>
        <v>6</v>
      </c>
      <c r="G125">
        <f t="shared" si="3"/>
        <v>2019</v>
      </c>
    </row>
    <row r="126" spans="1:7" x14ac:dyDescent="0.25">
      <c r="A126" s="2" t="s">
        <v>439</v>
      </c>
      <c r="B126" s="2" t="s">
        <v>227</v>
      </c>
      <c r="C126" s="2" t="s">
        <v>440</v>
      </c>
      <c r="D126" s="2" t="s">
        <v>201</v>
      </c>
      <c r="E126" s="3">
        <v>43616</v>
      </c>
      <c r="F126">
        <f t="shared" si="2"/>
        <v>5</v>
      </c>
      <c r="G126">
        <f t="shared" si="3"/>
        <v>2019</v>
      </c>
    </row>
    <row r="127" spans="1:7" x14ac:dyDescent="0.25">
      <c r="A127" s="2" t="s">
        <v>75</v>
      </c>
      <c r="B127" s="2" t="s">
        <v>441</v>
      </c>
      <c r="C127" s="2" t="s">
        <v>440</v>
      </c>
      <c r="D127" s="2" t="s">
        <v>442</v>
      </c>
      <c r="E127" s="3">
        <v>43615</v>
      </c>
      <c r="F127">
        <f t="shared" si="2"/>
        <v>5</v>
      </c>
      <c r="G127">
        <f t="shared" si="3"/>
        <v>2019</v>
      </c>
    </row>
    <row r="128" spans="1:7" x14ac:dyDescent="0.25">
      <c r="A128" s="2" t="s">
        <v>443</v>
      </c>
      <c r="B128" s="2" t="s">
        <v>444</v>
      </c>
      <c r="C128" s="2" t="s">
        <v>445</v>
      </c>
      <c r="D128" s="2" t="s">
        <v>446</v>
      </c>
      <c r="E128" s="3">
        <v>43612</v>
      </c>
      <c r="F128">
        <f t="shared" si="2"/>
        <v>5</v>
      </c>
      <c r="G128">
        <f t="shared" si="3"/>
        <v>2019</v>
      </c>
    </row>
    <row r="129" spans="1:7" x14ac:dyDescent="0.25">
      <c r="A129" s="2" t="s">
        <v>447</v>
      </c>
      <c r="B129" s="2" t="s">
        <v>448</v>
      </c>
      <c r="C129" s="2" t="s">
        <v>449</v>
      </c>
      <c r="D129" s="2" t="s">
        <v>450</v>
      </c>
      <c r="E129" s="3">
        <v>43611</v>
      </c>
      <c r="F129">
        <f t="shared" si="2"/>
        <v>5</v>
      </c>
      <c r="G129">
        <f t="shared" si="3"/>
        <v>2019</v>
      </c>
    </row>
    <row r="130" spans="1:7" x14ac:dyDescent="0.25">
      <c r="A130" s="2" t="s">
        <v>451</v>
      </c>
      <c r="B130" s="2" t="s">
        <v>452</v>
      </c>
      <c r="C130" s="2" t="s">
        <v>251</v>
      </c>
      <c r="D130" s="2" t="s">
        <v>453</v>
      </c>
      <c r="E130" s="3">
        <v>43611</v>
      </c>
      <c r="F130">
        <f t="shared" si="2"/>
        <v>5</v>
      </c>
      <c r="G130">
        <f t="shared" si="3"/>
        <v>2019</v>
      </c>
    </row>
    <row r="131" spans="1:7" x14ac:dyDescent="0.25">
      <c r="A131" s="2" t="s">
        <v>454</v>
      </c>
      <c r="B131" s="2" t="s">
        <v>455</v>
      </c>
      <c r="C131" s="2" t="s">
        <v>456</v>
      </c>
      <c r="D131" s="2" t="s">
        <v>457</v>
      </c>
      <c r="E131" s="3">
        <v>43609</v>
      </c>
      <c r="F131">
        <f t="shared" ref="F131:F194" si="4">MONTH(E131)</f>
        <v>5</v>
      </c>
      <c r="G131">
        <f t="shared" ref="G131:G194" si="5">YEAR(E131)</f>
        <v>2019</v>
      </c>
    </row>
    <row r="132" spans="1:7" x14ac:dyDescent="0.25">
      <c r="A132" s="2" t="s">
        <v>268</v>
      </c>
      <c r="B132" s="2" t="s">
        <v>458</v>
      </c>
      <c r="C132" s="2" t="s">
        <v>459</v>
      </c>
      <c r="D132" s="2" t="s">
        <v>460</v>
      </c>
      <c r="E132" s="3">
        <v>43607</v>
      </c>
      <c r="F132">
        <f t="shared" si="4"/>
        <v>5</v>
      </c>
      <c r="G132">
        <f t="shared" si="5"/>
        <v>2019</v>
      </c>
    </row>
    <row r="133" spans="1:7" ht="36" x14ac:dyDescent="0.25">
      <c r="A133" s="2" t="s">
        <v>257</v>
      </c>
      <c r="B133" s="2" t="s">
        <v>461</v>
      </c>
      <c r="C133" s="2" t="s">
        <v>65</v>
      </c>
      <c r="D133" s="2" t="s">
        <v>462</v>
      </c>
      <c r="E133" s="3">
        <v>43607</v>
      </c>
      <c r="F133">
        <f t="shared" si="4"/>
        <v>5</v>
      </c>
      <c r="G133">
        <f t="shared" si="5"/>
        <v>2019</v>
      </c>
    </row>
    <row r="134" spans="1:7" x14ac:dyDescent="0.25">
      <c r="A134" s="2" t="s">
        <v>463</v>
      </c>
      <c r="B134" s="2" t="s">
        <v>464</v>
      </c>
      <c r="C134" s="2" t="s">
        <v>465</v>
      </c>
      <c r="D134" s="2" t="s">
        <v>466</v>
      </c>
      <c r="E134" s="3">
        <v>43606</v>
      </c>
      <c r="F134">
        <f t="shared" si="4"/>
        <v>5</v>
      </c>
      <c r="G134">
        <f t="shared" si="5"/>
        <v>2019</v>
      </c>
    </row>
    <row r="135" spans="1:7" x14ac:dyDescent="0.25">
      <c r="A135" s="2" t="s">
        <v>467</v>
      </c>
      <c r="B135" s="2" t="s">
        <v>468</v>
      </c>
      <c r="C135" s="2" t="s">
        <v>469</v>
      </c>
      <c r="D135" s="2" t="s">
        <v>470</v>
      </c>
      <c r="E135" s="3">
        <v>43606</v>
      </c>
      <c r="F135">
        <f t="shared" si="4"/>
        <v>5</v>
      </c>
      <c r="G135">
        <f t="shared" si="5"/>
        <v>2019</v>
      </c>
    </row>
    <row r="136" spans="1:7" ht="24" x14ac:dyDescent="0.25">
      <c r="A136" s="2" t="s">
        <v>403</v>
      </c>
      <c r="B136" s="2" t="s">
        <v>471</v>
      </c>
      <c r="C136" s="2" t="s">
        <v>472</v>
      </c>
      <c r="D136" s="2" t="s">
        <v>473</v>
      </c>
      <c r="E136" s="3">
        <v>43606</v>
      </c>
      <c r="F136">
        <f t="shared" si="4"/>
        <v>5</v>
      </c>
      <c r="G136">
        <f t="shared" si="5"/>
        <v>2019</v>
      </c>
    </row>
    <row r="137" spans="1:7" x14ac:dyDescent="0.25">
      <c r="A137" s="2" t="s">
        <v>36</v>
      </c>
      <c r="B137" s="2" t="s">
        <v>474</v>
      </c>
      <c r="C137" s="2" t="s">
        <v>475</v>
      </c>
      <c r="D137" s="2" t="s">
        <v>476</v>
      </c>
      <c r="E137" s="3">
        <v>43605</v>
      </c>
      <c r="F137">
        <f t="shared" si="4"/>
        <v>5</v>
      </c>
      <c r="G137">
        <f t="shared" si="5"/>
        <v>2019</v>
      </c>
    </row>
    <row r="138" spans="1:7" ht="36" x14ac:dyDescent="0.25">
      <c r="A138" s="2" t="s">
        <v>477</v>
      </c>
      <c r="B138" s="2" t="s">
        <v>478</v>
      </c>
      <c r="C138" s="2" t="s">
        <v>479</v>
      </c>
      <c r="D138" s="2" t="s">
        <v>480</v>
      </c>
      <c r="E138" s="3">
        <v>43605</v>
      </c>
      <c r="F138">
        <f t="shared" si="4"/>
        <v>5</v>
      </c>
      <c r="G138">
        <f t="shared" si="5"/>
        <v>2019</v>
      </c>
    </row>
    <row r="139" spans="1:7" x14ac:dyDescent="0.25">
      <c r="A139" s="2" t="s">
        <v>481</v>
      </c>
      <c r="B139" s="2" t="s">
        <v>482</v>
      </c>
      <c r="C139" s="2" t="s">
        <v>483</v>
      </c>
      <c r="D139" s="2" t="s">
        <v>484</v>
      </c>
      <c r="E139" s="3">
        <v>43605</v>
      </c>
      <c r="F139">
        <f t="shared" si="4"/>
        <v>5</v>
      </c>
      <c r="G139">
        <f t="shared" si="5"/>
        <v>2019</v>
      </c>
    </row>
    <row r="140" spans="1:7" x14ac:dyDescent="0.25">
      <c r="A140" s="2" t="s">
        <v>485</v>
      </c>
      <c r="B140" s="2" t="s">
        <v>486</v>
      </c>
      <c r="C140" s="2" t="s">
        <v>65</v>
      </c>
      <c r="D140" s="2" t="s">
        <v>487</v>
      </c>
      <c r="E140" s="3">
        <v>43605</v>
      </c>
      <c r="F140">
        <f t="shared" si="4"/>
        <v>5</v>
      </c>
      <c r="G140">
        <f t="shared" si="5"/>
        <v>2019</v>
      </c>
    </row>
    <row r="141" spans="1:7" x14ac:dyDescent="0.25">
      <c r="A141" s="2" t="s">
        <v>488</v>
      </c>
      <c r="B141" s="2" t="s">
        <v>489</v>
      </c>
      <c r="C141" s="2" t="s">
        <v>490</v>
      </c>
      <c r="D141" s="2" t="s">
        <v>491</v>
      </c>
      <c r="E141" s="3">
        <v>43605</v>
      </c>
      <c r="F141">
        <f t="shared" si="4"/>
        <v>5</v>
      </c>
      <c r="G141">
        <f t="shared" si="5"/>
        <v>2019</v>
      </c>
    </row>
    <row r="142" spans="1:7" x14ac:dyDescent="0.25">
      <c r="A142" s="2" t="s">
        <v>492</v>
      </c>
      <c r="B142" s="2" t="s">
        <v>493</v>
      </c>
      <c r="C142" s="2" t="s">
        <v>494</v>
      </c>
      <c r="D142" s="2" t="s">
        <v>495</v>
      </c>
      <c r="E142" s="3">
        <v>43604</v>
      </c>
      <c r="F142">
        <f t="shared" si="4"/>
        <v>5</v>
      </c>
      <c r="G142">
        <f t="shared" si="5"/>
        <v>2019</v>
      </c>
    </row>
    <row r="143" spans="1:7" x14ac:dyDescent="0.25">
      <c r="A143" s="2" t="s">
        <v>294</v>
      </c>
      <c r="B143" s="2" t="s">
        <v>496</v>
      </c>
      <c r="C143" s="2" t="s">
        <v>497</v>
      </c>
      <c r="D143" s="2" t="s">
        <v>498</v>
      </c>
      <c r="E143" s="3">
        <v>43604</v>
      </c>
      <c r="F143">
        <f t="shared" si="4"/>
        <v>5</v>
      </c>
      <c r="G143">
        <f t="shared" si="5"/>
        <v>2019</v>
      </c>
    </row>
    <row r="144" spans="1:7" x14ac:dyDescent="0.25">
      <c r="A144" s="2" t="s">
        <v>499</v>
      </c>
      <c r="B144" s="2" t="s">
        <v>500</v>
      </c>
      <c r="C144" s="2" t="s">
        <v>501</v>
      </c>
      <c r="D144" s="2" t="s">
        <v>502</v>
      </c>
      <c r="E144" s="3">
        <v>43603</v>
      </c>
      <c r="F144">
        <f t="shared" si="4"/>
        <v>5</v>
      </c>
      <c r="G144">
        <f t="shared" si="5"/>
        <v>2019</v>
      </c>
    </row>
    <row r="145" spans="1:7" x14ac:dyDescent="0.25">
      <c r="A145" s="2" t="s">
        <v>503</v>
      </c>
      <c r="B145" s="2" t="s">
        <v>68</v>
      </c>
      <c r="C145" s="2" t="s">
        <v>504</v>
      </c>
      <c r="D145" s="2" t="s">
        <v>505</v>
      </c>
      <c r="E145" s="3">
        <v>43603</v>
      </c>
      <c r="F145">
        <f t="shared" si="4"/>
        <v>5</v>
      </c>
      <c r="G145">
        <f t="shared" si="5"/>
        <v>2019</v>
      </c>
    </row>
    <row r="146" spans="1:7" x14ac:dyDescent="0.25">
      <c r="A146" s="2" t="s">
        <v>506</v>
      </c>
      <c r="B146" s="2" t="s">
        <v>507</v>
      </c>
      <c r="C146" s="2" t="s">
        <v>508</v>
      </c>
      <c r="D146" s="2" t="s">
        <v>509</v>
      </c>
      <c r="E146" s="3">
        <v>43603</v>
      </c>
      <c r="F146">
        <f t="shared" si="4"/>
        <v>5</v>
      </c>
      <c r="G146">
        <f t="shared" si="5"/>
        <v>2019</v>
      </c>
    </row>
    <row r="147" spans="1:7" x14ac:dyDescent="0.25">
      <c r="A147" s="2" t="s">
        <v>510</v>
      </c>
      <c r="B147" s="2" t="s">
        <v>151</v>
      </c>
      <c r="C147" s="2" t="s">
        <v>511</v>
      </c>
      <c r="D147" s="2" t="s">
        <v>512</v>
      </c>
      <c r="E147" s="3">
        <v>43603</v>
      </c>
      <c r="F147">
        <f t="shared" si="4"/>
        <v>5</v>
      </c>
      <c r="G147">
        <f t="shared" si="5"/>
        <v>2019</v>
      </c>
    </row>
    <row r="148" spans="1:7" x14ac:dyDescent="0.25">
      <c r="A148" s="2" t="s">
        <v>513</v>
      </c>
      <c r="B148" s="2" t="s">
        <v>514</v>
      </c>
      <c r="C148" s="2" t="s">
        <v>515</v>
      </c>
      <c r="D148" s="2" t="s">
        <v>516</v>
      </c>
      <c r="E148" s="3">
        <v>43603</v>
      </c>
      <c r="F148">
        <f t="shared" si="4"/>
        <v>5</v>
      </c>
      <c r="G148">
        <f t="shared" si="5"/>
        <v>2019</v>
      </c>
    </row>
    <row r="149" spans="1:7" x14ac:dyDescent="0.25">
      <c r="A149" s="2" t="s">
        <v>517</v>
      </c>
      <c r="B149" s="2" t="s">
        <v>518</v>
      </c>
      <c r="C149" s="2" t="s">
        <v>91</v>
      </c>
      <c r="D149" s="2" t="s">
        <v>519</v>
      </c>
      <c r="E149" s="3">
        <v>43603</v>
      </c>
      <c r="F149">
        <f t="shared" si="4"/>
        <v>5</v>
      </c>
      <c r="G149">
        <f t="shared" si="5"/>
        <v>2019</v>
      </c>
    </row>
    <row r="150" spans="1:7" x14ac:dyDescent="0.25">
      <c r="A150" s="2" t="s">
        <v>36</v>
      </c>
      <c r="B150" s="2" t="s">
        <v>520</v>
      </c>
      <c r="C150" s="2" t="s">
        <v>320</v>
      </c>
      <c r="D150" s="2" t="s">
        <v>521</v>
      </c>
      <c r="E150" s="3">
        <v>43603</v>
      </c>
      <c r="F150">
        <f t="shared" si="4"/>
        <v>5</v>
      </c>
      <c r="G150">
        <f t="shared" si="5"/>
        <v>2019</v>
      </c>
    </row>
    <row r="151" spans="1:7" x14ac:dyDescent="0.25">
      <c r="A151" s="2" t="s">
        <v>522</v>
      </c>
      <c r="B151" s="2" t="s">
        <v>523</v>
      </c>
      <c r="C151" s="2" t="s">
        <v>524</v>
      </c>
      <c r="D151" s="2" t="s">
        <v>525</v>
      </c>
      <c r="E151" s="3">
        <v>43602</v>
      </c>
      <c r="F151">
        <f t="shared" si="4"/>
        <v>5</v>
      </c>
      <c r="G151">
        <f t="shared" si="5"/>
        <v>2019</v>
      </c>
    </row>
    <row r="152" spans="1:7" ht="36" x14ac:dyDescent="0.25">
      <c r="A152" s="2" t="s">
        <v>526</v>
      </c>
      <c r="B152" s="2" t="s">
        <v>527</v>
      </c>
      <c r="C152" s="2" t="s">
        <v>528</v>
      </c>
      <c r="D152" s="2" t="s">
        <v>529</v>
      </c>
      <c r="E152" s="3">
        <v>43601</v>
      </c>
      <c r="F152">
        <f t="shared" si="4"/>
        <v>5</v>
      </c>
      <c r="G152">
        <f t="shared" si="5"/>
        <v>2019</v>
      </c>
    </row>
    <row r="153" spans="1:7" x14ac:dyDescent="0.25">
      <c r="A153" s="2" t="s">
        <v>530</v>
      </c>
      <c r="B153" s="2" t="s">
        <v>531</v>
      </c>
      <c r="C153" s="2" t="s">
        <v>532</v>
      </c>
      <c r="D153" s="2" t="s">
        <v>533</v>
      </c>
      <c r="E153" s="3">
        <v>43597</v>
      </c>
      <c r="F153">
        <f t="shared" si="4"/>
        <v>5</v>
      </c>
      <c r="G153">
        <f t="shared" si="5"/>
        <v>2019</v>
      </c>
    </row>
    <row r="154" spans="1:7" x14ac:dyDescent="0.25">
      <c r="A154" s="2" t="s">
        <v>534</v>
      </c>
      <c r="B154" s="2" t="s">
        <v>535</v>
      </c>
      <c r="C154" s="2" t="s">
        <v>536</v>
      </c>
      <c r="D154" s="2" t="s">
        <v>106</v>
      </c>
      <c r="E154" s="3">
        <v>43597</v>
      </c>
      <c r="F154">
        <f t="shared" si="4"/>
        <v>5</v>
      </c>
      <c r="G154">
        <f t="shared" si="5"/>
        <v>2019</v>
      </c>
    </row>
    <row r="155" spans="1:7" x14ac:dyDescent="0.25">
      <c r="A155" s="2" t="s">
        <v>537</v>
      </c>
      <c r="B155" s="2" t="s">
        <v>538</v>
      </c>
      <c r="C155" s="2" t="s">
        <v>539</v>
      </c>
      <c r="D155" s="2" t="s">
        <v>540</v>
      </c>
      <c r="E155" s="3">
        <v>43597</v>
      </c>
      <c r="F155">
        <f t="shared" si="4"/>
        <v>5</v>
      </c>
      <c r="G155">
        <f t="shared" si="5"/>
        <v>2019</v>
      </c>
    </row>
    <row r="156" spans="1:7" x14ac:dyDescent="0.25">
      <c r="A156" s="2" t="s">
        <v>541</v>
      </c>
      <c r="B156" s="2" t="s">
        <v>542</v>
      </c>
      <c r="C156" s="2" t="s">
        <v>140</v>
      </c>
      <c r="D156" s="2" t="s">
        <v>543</v>
      </c>
      <c r="E156" s="3">
        <v>43596</v>
      </c>
      <c r="F156">
        <f t="shared" si="4"/>
        <v>5</v>
      </c>
      <c r="G156">
        <f t="shared" si="5"/>
        <v>2019</v>
      </c>
    </row>
    <row r="157" spans="1:7" x14ac:dyDescent="0.25">
      <c r="A157" s="2" t="s">
        <v>544</v>
      </c>
      <c r="B157" s="2" t="s">
        <v>545</v>
      </c>
      <c r="C157" s="2" t="s">
        <v>410</v>
      </c>
      <c r="D157" s="2" t="s">
        <v>546</v>
      </c>
      <c r="E157" s="3">
        <v>43596</v>
      </c>
      <c r="F157">
        <f t="shared" si="4"/>
        <v>5</v>
      </c>
      <c r="G157">
        <f t="shared" si="5"/>
        <v>2019</v>
      </c>
    </row>
    <row r="158" spans="1:7" x14ac:dyDescent="0.25">
      <c r="A158" s="2" t="s">
        <v>547</v>
      </c>
      <c r="B158" s="2" t="s">
        <v>548</v>
      </c>
      <c r="C158" s="2" t="s">
        <v>536</v>
      </c>
      <c r="D158" s="2" t="s">
        <v>549</v>
      </c>
      <c r="E158" s="3">
        <v>43596</v>
      </c>
      <c r="F158">
        <f t="shared" si="4"/>
        <v>5</v>
      </c>
      <c r="G158">
        <f t="shared" si="5"/>
        <v>2019</v>
      </c>
    </row>
    <row r="159" spans="1:7" x14ac:dyDescent="0.25">
      <c r="A159" s="2" t="s">
        <v>526</v>
      </c>
      <c r="B159" s="2" t="s">
        <v>550</v>
      </c>
      <c r="C159" s="2" t="s">
        <v>551</v>
      </c>
      <c r="D159" s="2" t="s">
        <v>201</v>
      </c>
      <c r="E159" s="3">
        <v>43596</v>
      </c>
      <c r="F159">
        <f t="shared" si="4"/>
        <v>5</v>
      </c>
      <c r="G159">
        <f t="shared" si="5"/>
        <v>2019</v>
      </c>
    </row>
    <row r="160" spans="1:7" x14ac:dyDescent="0.25">
      <c r="A160" s="2" t="s">
        <v>552</v>
      </c>
      <c r="B160" s="2" t="s">
        <v>553</v>
      </c>
      <c r="C160" s="2" t="s">
        <v>501</v>
      </c>
      <c r="D160" s="2" t="s">
        <v>301</v>
      </c>
      <c r="E160" s="3">
        <v>43594</v>
      </c>
      <c r="F160">
        <f t="shared" si="4"/>
        <v>5</v>
      </c>
      <c r="G160">
        <f t="shared" si="5"/>
        <v>2019</v>
      </c>
    </row>
    <row r="161" spans="1:7" ht="24" x14ac:dyDescent="0.25">
      <c r="A161" s="2" t="s">
        <v>554</v>
      </c>
      <c r="B161" s="2" t="s">
        <v>555</v>
      </c>
      <c r="C161" s="2" t="s">
        <v>556</v>
      </c>
      <c r="D161" s="2" t="s">
        <v>557</v>
      </c>
      <c r="E161" s="3">
        <v>43594</v>
      </c>
      <c r="F161">
        <f t="shared" si="4"/>
        <v>5</v>
      </c>
      <c r="G161">
        <f t="shared" si="5"/>
        <v>2019</v>
      </c>
    </row>
    <row r="162" spans="1:7" x14ac:dyDescent="0.25">
      <c r="A162" s="2" t="s">
        <v>558</v>
      </c>
      <c r="B162" s="2" t="s">
        <v>559</v>
      </c>
      <c r="C162" s="2" t="s">
        <v>560</v>
      </c>
      <c r="D162" s="2" t="s">
        <v>561</v>
      </c>
      <c r="E162" s="3">
        <v>43591</v>
      </c>
      <c r="F162">
        <f t="shared" si="4"/>
        <v>5</v>
      </c>
      <c r="G162">
        <f t="shared" si="5"/>
        <v>2019</v>
      </c>
    </row>
    <row r="163" spans="1:7" x14ac:dyDescent="0.25">
      <c r="A163" s="2" t="s">
        <v>562</v>
      </c>
      <c r="B163" s="2" t="s">
        <v>563</v>
      </c>
      <c r="C163" s="2" t="s">
        <v>57</v>
      </c>
      <c r="D163" s="2" t="s">
        <v>564</v>
      </c>
      <c r="E163" s="3">
        <v>43590</v>
      </c>
      <c r="F163">
        <f t="shared" si="4"/>
        <v>5</v>
      </c>
      <c r="G163">
        <f t="shared" si="5"/>
        <v>2019</v>
      </c>
    </row>
    <row r="164" spans="1:7" x14ac:dyDescent="0.25">
      <c r="A164" s="2" t="s">
        <v>565</v>
      </c>
      <c r="B164" s="2" t="s">
        <v>566</v>
      </c>
      <c r="C164" s="2" t="s">
        <v>567</v>
      </c>
      <c r="D164" s="2" t="s">
        <v>568</v>
      </c>
      <c r="E164" s="3">
        <v>43590</v>
      </c>
      <c r="F164">
        <f t="shared" si="4"/>
        <v>5</v>
      </c>
      <c r="G164">
        <f t="shared" si="5"/>
        <v>2019</v>
      </c>
    </row>
    <row r="165" spans="1:7" x14ac:dyDescent="0.25">
      <c r="A165" s="2" t="s">
        <v>569</v>
      </c>
      <c r="B165" s="2" t="s">
        <v>570</v>
      </c>
      <c r="C165" s="2" t="s">
        <v>571</v>
      </c>
      <c r="D165" s="2" t="s">
        <v>572</v>
      </c>
      <c r="E165" s="3">
        <v>43589</v>
      </c>
      <c r="F165">
        <f t="shared" si="4"/>
        <v>5</v>
      </c>
      <c r="G165">
        <f t="shared" si="5"/>
        <v>2019</v>
      </c>
    </row>
    <row r="166" spans="1:7" x14ac:dyDescent="0.25">
      <c r="A166" s="2" t="s">
        <v>573</v>
      </c>
      <c r="B166" s="2" t="s">
        <v>574</v>
      </c>
      <c r="C166" s="2" t="s">
        <v>440</v>
      </c>
      <c r="D166" s="2" t="s">
        <v>575</v>
      </c>
      <c r="E166" s="3">
        <v>43588</v>
      </c>
      <c r="F166">
        <f t="shared" si="4"/>
        <v>5</v>
      </c>
      <c r="G166">
        <f t="shared" si="5"/>
        <v>2019</v>
      </c>
    </row>
    <row r="167" spans="1:7" x14ac:dyDescent="0.25">
      <c r="A167" s="2" t="s">
        <v>133</v>
      </c>
      <c r="B167" s="2" t="s">
        <v>181</v>
      </c>
      <c r="C167" s="2" t="s">
        <v>576</v>
      </c>
      <c r="D167" s="2" t="s">
        <v>577</v>
      </c>
      <c r="E167" s="3">
        <v>43587</v>
      </c>
      <c r="F167">
        <f t="shared" si="4"/>
        <v>5</v>
      </c>
      <c r="G167">
        <f t="shared" si="5"/>
        <v>2019</v>
      </c>
    </row>
    <row r="168" spans="1:7" x14ac:dyDescent="0.25">
      <c r="A168" s="2" t="s">
        <v>298</v>
      </c>
      <c r="B168" s="2" t="s">
        <v>578</v>
      </c>
      <c r="C168" s="2" t="s">
        <v>11</v>
      </c>
      <c r="D168" s="2" t="s">
        <v>579</v>
      </c>
      <c r="E168" s="3">
        <v>43587</v>
      </c>
      <c r="F168">
        <f t="shared" si="4"/>
        <v>5</v>
      </c>
      <c r="G168">
        <f t="shared" si="5"/>
        <v>2019</v>
      </c>
    </row>
    <row r="169" spans="1:7" x14ac:dyDescent="0.25">
      <c r="A169" s="2" t="s">
        <v>580</v>
      </c>
      <c r="B169" s="2" t="s">
        <v>581</v>
      </c>
      <c r="C169" s="2" t="s">
        <v>582</v>
      </c>
      <c r="D169" s="2" t="s">
        <v>256</v>
      </c>
      <c r="E169" s="3">
        <v>43587</v>
      </c>
      <c r="F169">
        <f t="shared" si="4"/>
        <v>5</v>
      </c>
      <c r="G169">
        <f t="shared" si="5"/>
        <v>2019</v>
      </c>
    </row>
    <row r="170" spans="1:7" ht="24" x14ac:dyDescent="0.25">
      <c r="A170" s="2" t="s">
        <v>583</v>
      </c>
      <c r="B170" s="2" t="s">
        <v>584</v>
      </c>
      <c r="C170" s="2" t="s">
        <v>585</v>
      </c>
      <c r="D170" s="2" t="s">
        <v>256</v>
      </c>
      <c r="E170" s="3">
        <v>43585</v>
      </c>
      <c r="F170">
        <f t="shared" si="4"/>
        <v>4</v>
      </c>
      <c r="G170">
        <f t="shared" si="5"/>
        <v>2019</v>
      </c>
    </row>
    <row r="171" spans="1:7" x14ac:dyDescent="0.25">
      <c r="A171" s="2" t="s">
        <v>586</v>
      </c>
      <c r="B171" s="2" t="s">
        <v>425</v>
      </c>
      <c r="C171" s="2" t="s">
        <v>587</v>
      </c>
      <c r="D171" s="2" t="s">
        <v>588</v>
      </c>
      <c r="E171" s="3">
        <v>43585</v>
      </c>
      <c r="F171">
        <f t="shared" si="4"/>
        <v>4</v>
      </c>
      <c r="G171">
        <f t="shared" si="5"/>
        <v>2019</v>
      </c>
    </row>
    <row r="172" spans="1:7" x14ac:dyDescent="0.25">
      <c r="A172" s="2" t="s">
        <v>589</v>
      </c>
      <c r="B172" s="2" t="s">
        <v>590</v>
      </c>
      <c r="C172" s="2" t="s">
        <v>42</v>
      </c>
      <c r="D172" s="2" t="s">
        <v>168</v>
      </c>
      <c r="E172" s="3">
        <v>43584</v>
      </c>
      <c r="F172">
        <f t="shared" si="4"/>
        <v>4</v>
      </c>
      <c r="G172">
        <f t="shared" si="5"/>
        <v>2019</v>
      </c>
    </row>
    <row r="173" spans="1:7" ht="24" x14ac:dyDescent="0.25">
      <c r="A173" s="2" t="s">
        <v>591</v>
      </c>
      <c r="B173" s="2" t="s">
        <v>592</v>
      </c>
      <c r="C173" s="2" t="s">
        <v>593</v>
      </c>
      <c r="D173" s="2" t="s">
        <v>594</v>
      </c>
      <c r="E173" s="3">
        <v>43580</v>
      </c>
      <c r="F173">
        <f t="shared" si="4"/>
        <v>4</v>
      </c>
      <c r="G173">
        <f t="shared" si="5"/>
        <v>2019</v>
      </c>
    </row>
    <row r="174" spans="1:7" x14ac:dyDescent="0.25">
      <c r="A174" s="2" t="s">
        <v>595</v>
      </c>
      <c r="B174" s="2" t="s">
        <v>596</v>
      </c>
      <c r="C174" s="2" t="s">
        <v>91</v>
      </c>
      <c r="D174" s="2" t="s">
        <v>279</v>
      </c>
      <c r="E174" s="3">
        <v>43580</v>
      </c>
      <c r="F174">
        <f t="shared" si="4"/>
        <v>4</v>
      </c>
      <c r="G174">
        <f t="shared" si="5"/>
        <v>2019</v>
      </c>
    </row>
    <row r="175" spans="1:7" x14ac:dyDescent="0.25">
      <c r="A175" s="2" t="s">
        <v>597</v>
      </c>
      <c r="B175" s="2" t="s">
        <v>598</v>
      </c>
      <c r="C175" s="2" t="s">
        <v>387</v>
      </c>
      <c r="D175" s="2" t="s">
        <v>599</v>
      </c>
      <c r="E175" s="3">
        <v>43579</v>
      </c>
      <c r="F175">
        <f t="shared" si="4"/>
        <v>4</v>
      </c>
      <c r="G175">
        <f t="shared" si="5"/>
        <v>2019</v>
      </c>
    </row>
    <row r="176" spans="1:7" x14ac:dyDescent="0.25">
      <c r="A176" s="2" t="s">
        <v>600</v>
      </c>
      <c r="B176" s="2" t="s">
        <v>101</v>
      </c>
      <c r="C176" s="2" t="s">
        <v>601</v>
      </c>
      <c r="D176" s="2" t="s">
        <v>602</v>
      </c>
      <c r="E176" s="3">
        <v>43578</v>
      </c>
      <c r="F176">
        <f t="shared" si="4"/>
        <v>4</v>
      </c>
      <c r="G176">
        <f t="shared" si="5"/>
        <v>2019</v>
      </c>
    </row>
    <row r="177" spans="1:7" x14ac:dyDescent="0.25">
      <c r="A177" s="2" t="s">
        <v>603</v>
      </c>
      <c r="B177" s="2" t="s">
        <v>604</v>
      </c>
      <c r="C177" s="2" t="s">
        <v>605</v>
      </c>
      <c r="D177" s="2" t="s">
        <v>606</v>
      </c>
      <c r="E177" s="3">
        <v>43578</v>
      </c>
      <c r="F177">
        <f t="shared" si="4"/>
        <v>4</v>
      </c>
      <c r="G177">
        <f t="shared" si="5"/>
        <v>2019</v>
      </c>
    </row>
    <row r="178" spans="1:7" x14ac:dyDescent="0.25">
      <c r="A178" s="2" t="s">
        <v>607</v>
      </c>
      <c r="B178" s="2" t="s">
        <v>608</v>
      </c>
      <c r="C178" s="2" t="s">
        <v>609</v>
      </c>
      <c r="D178" s="2" t="s">
        <v>610</v>
      </c>
      <c r="E178" s="3">
        <v>43576</v>
      </c>
      <c r="F178">
        <f t="shared" si="4"/>
        <v>4</v>
      </c>
      <c r="G178">
        <f t="shared" si="5"/>
        <v>2019</v>
      </c>
    </row>
    <row r="179" spans="1:7" x14ac:dyDescent="0.25">
      <c r="A179" s="2" t="s">
        <v>611</v>
      </c>
      <c r="B179" s="2" t="s">
        <v>612</v>
      </c>
      <c r="C179" s="2" t="s">
        <v>613</v>
      </c>
      <c r="D179" s="2" t="s">
        <v>168</v>
      </c>
      <c r="E179" s="3">
        <v>43576</v>
      </c>
      <c r="F179">
        <f t="shared" si="4"/>
        <v>4</v>
      </c>
      <c r="G179">
        <f t="shared" si="5"/>
        <v>2019</v>
      </c>
    </row>
    <row r="180" spans="1:7" ht="24" x14ac:dyDescent="0.25">
      <c r="A180" s="2" t="s">
        <v>614</v>
      </c>
      <c r="B180" s="2" t="s">
        <v>615</v>
      </c>
      <c r="C180" s="2" t="s">
        <v>616</v>
      </c>
      <c r="D180" s="2" t="s">
        <v>617</v>
      </c>
      <c r="E180" s="3">
        <v>43576</v>
      </c>
      <c r="F180">
        <f t="shared" si="4"/>
        <v>4</v>
      </c>
      <c r="G180">
        <f t="shared" si="5"/>
        <v>2019</v>
      </c>
    </row>
    <row r="181" spans="1:7" x14ac:dyDescent="0.25">
      <c r="A181" s="2" t="s">
        <v>618</v>
      </c>
      <c r="B181" s="2" t="s">
        <v>619</v>
      </c>
      <c r="C181" s="2" t="s">
        <v>620</v>
      </c>
      <c r="D181" s="2" t="s">
        <v>621</v>
      </c>
      <c r="E181" s="3">
        <v>43575</v>
      </c>
      <c r="F181">
        <f t="shared" si="4"/>
        <v>4</v>
      </c>
      <c r="G181">
        <f t="shared" si="5"/>
        <v>2019</v>
      </c>
    </row>
    <row r="182" spans="1:7" x14ac:dyDescent="0.25">
      <c r="A182" s="2" t="s">
        <v>622</v>
      </c>
      <c r="B182" s="2" t="s">
        <v>623</v>
      </c>
      <c r="C182" s="2" t="s">
        <v>624</v>
      </c>
      <c r="D182" s="2" t="s">
        <v>256</v>
      </c>
      <c r="E182" s="3">
        <v>43575</v>
      </c>
      <c r="F182">
        <f t="shared" si="4"/>
        <v>4</v>
      </c>
      <c r="G182">
        <f t="shared" si="5"/>
        <v>2019</v>
      </c>
    </row>
    <row r="183" spans="1:7" x14ac:dyDescent="0.25">
      <c r="A183" s="2" t="s">
        <v>625</v>
      </c>
      <c r="B183" s="2" t="s">
        <v>232</v>
      </c>
      <c r="C183" s="2" t="s">
        <v>626</v>
      </c>
      <c r="D183" s="2" t="s">
        <v>627</v>
      </c>
      <c r="E183" s="3">
        <v>43575</v>
      </c>
      <c r="F183">
        <f t="shared" si="4"/>
        <v>4</v>
      </c>
      <c r="G183">
        <f t="shared" si="5"/>
        <v>2019</v>
      </c>
    </row>
    <row r="184" spans="1:7" x14ac:dyDescent="0.25">
      <c r="A184" s="2" t="s">
        <v>628</v>
      </c>
      <c r="B184" s="2" t="s">
        <v>629</v>
      </c>
      <c r="C184" s="2" t="s">
        <v>630</v>
      </c>
      <c r="D184" s="2" t="s">
        <v>283</v>
      </c>
      <c r="E184" s="3">
        <v>43574</v>
      </c>
      <c r="F184">
        <f t="shared" si="4"/>
        <v>4</v>
      </c>
      <c r="G184">
        <f t="shared" si="5"/>
        <v>2019</v>
      </c>
    </row>
    <row r="185" spans="1:7" x14ac:dyDescent="0.25">
      <c r="A185" s="2" t="s">
        <v>631</v>
      </c>
      <c r="B185" s="2" t="s">
        <v>632</v>
      </c>
      <c r="C185" s="2" t="s">
        <v>633</v>
      </c>
      <c r="D185" s="2" t="s">
        <v>634</v>
      </c>
      <c r="E185" s="3">
        <v>43573</v>
      </c>
      <c r="F185">
        <f t="shared" si="4"/>
        <v>4</v>
      </c>
      <c r="G185">
        <f t="shared" si="5"/>
        <v>2019</v>
      </c>
    </row>
    <row r="186" spans="1:7" ht="24" x14ac:dyDescent="0.25">
      <c r="A186" s="2" t="s">
        <v>635</v>
      </c>
      <c r="B186" s="2" t="s">
        <v>636</v>
      </c>
      <c r="C186" s="2" t="s">
        <v>637</v>
      </c>
      <c r="D186" s="2" t="s">
        <v>638</v>
      </c>
      <c r="E186" s="3">
        <v>43572</v>
      </c>
      <c r="F186">
        <f t="shared" si="4"/>
        <v>4</v>
      </c>
      <c r="G186">
        <f t="shared" si="5"/>
        <v>2019</v>
      </c>
    </row>
    <row r="187" spans="1:7" x14ac:dyDescent="0.25">
      <c r="A187" s="2" t="s">
        <v>639</v>
      </c>
      <c r="B187" s="2" t="s">
        <v>640</v>
      </c>
      <c r="C187" s="2" t="s">
        <v>641</v>
      </c>
      <c r="D187" s="2" t="s">
        <v>642</v>
      </c>
      <c r="E187" s="3">
        <v>43572</v>
      </c>
      <c r="F187">
        <f t="shared" si="4"/>
        <v>4</v>
      </c>
      <c r="G187">
        <f t="shared" si="5"/>
        <v>2019</v>
      </c>
    </row>
    <row r="188" spans="1:7" x14ac:dyDescent="0.25">
      <c r="A188" s="2" t="s">
        <v>643</v>
      </c>
      <c r="B188" s="2" t="s">
        <v>644</v>
      </c>
      <c r="C188" s="2" t="s">
        <v>91</v>
      </c>
      <c r="D188" s="2" t="s">
        <v>645</v>
      </c>
      <c r="E188" s="3">
        <v>43571</v>
      </c>
      <c r="F188">
        <f t="shared" si="4"/>
        <v>4</v>
      </c>
      <c r="G188">
        <f t="shared" si="5"/>
        <v>2019</v>
      </c>
    </row>
    <row r="189" spans="1:7" x14ac:dyDescent="0.25">
      <c r="A189" s="2" t="s">
        <v>646</v>
      </c>
      <c r="B189" s="2" t="s">
        <v>647</v>
      </c>
      <c r="C189" s="2" t="s">
        <v>648</v>
      </c>
      <c r="D189" s="2" t="s">
        <v>8</v>
      </c>
      <c r="E189" s="3">
        <v>43571</v>
      </c>
      <c r="F189">
        <f t="shared" si="4"/>
        <v>4</v>
      </c>
      <c r="G189">
        <f t="shared" si="5"/>
        <v>2019</v>
      </c>
    </row>
    <row r="190" spans="1:7" ht="24" x14ac:dyDescent="0.25">
      <c r="A190" s="2" t="s">
        <v>649</v>
      </c>
      <c r="B190" s="2" t="s">
        <v>650</v>
      </c>
      <c r="C190" s="2" t="s">
        <v>19</v>
      </c>
      <c r="D190" s="2" t="s">
        <v>651</v>
      </c>
      <c r="E190" s="3">
        <v>43570</v>
      </c>
      <c r="F190">
        <f t="shared" si="4"/>
        <v>4</v>
      </c>
      <c r="G190">
        <f t="shared" si="5"/>
        <v>2019</v>
      </c>
    </row>
    <row r="191" spans="1:7" ht="24" x14ac:dyDescent="0.25">
      <c r="A191" s="2" t="s">
        <v>652</v>
      </c>
      <c r="B191" s="2" t="s">
        <v>653</v>
      </c>
      <c r="C191" s="2" t="s">
        <v>654</v>
      </c>
      <c r="D191" s="2" t="s">
        <v>655</v>
      </c>
      <c r="E191" s="3">
        <v>43566</v>
      </c>
      <c r="F191">
        <f t="shared" si="4"/>
        <v>4</v>
      </c>
      <c r="G191">
        <f t="shared" si="5"/>
        <v>2019</v>
      </c>
    </row>
    <row r="192" spans="1:7" x14ac:dyDescent="0.25">
      <c r="A192" s="2" t="s">
        <v>656</v>
      </c>
      <c r="B192" s="2" t="s">
        <v>657</v>
      </c>
      <c r="C192" s="2" t="s">
        <v>658</v>
      </c>
      <c r="D192" s="2" t="s">
        <v>114</v>
      </c>
      <c r="E192" s="3">
        <v>43566</v>
      </c>
      <c r="F192">
        <f t="shared" si="4"/>
        <v>4</v>
      </c>
      <c r="G192">
        <f t="shared" si="5"/>
        <v>2019</v>
      </c>
    </row>
    <row r="193" spans="1:7" x14ac:dyDescent="0.25">
      <c r="A193" s="2" t="s">
        <v>659</v>
      </c>
      <c r="B193" s="2" t="s">
        <v>660</v>
      </c>
      <c r="C193" s="2" t="s">
        <v>65</v>
      </c>
      <c r="D193" s="2" t="s">
        <v>168</v>
      </c>
      <c r="E193" s="3">
        <v>43566</v>
      </c>
      <c r="F193">
        <f t="shared" si="4"/>
        <v>4</v>
      </c>
      <c r="G193">
        <f t="shared" si="5"/>
        <v>2019</v>
      </c>
    </row>
    <row r="194" spans="1:7" x14ac:dyDescent="0.25">
      <c r="A194" s="2" t="s">
        <v>661</v>
      </c>
      <c r="B194" s="2" t="s">
        <v>662</v>
      </c>
      <c r="C194" s="2" t="s">
        <v>140</v>
      </c>
      <c r="D194" s="2" t="s">
        <v>663</v>
      </c>
      <c r="E194" s="3">
        <v>43566</v>
      </c>
      <c r="F194">
        <f t="shared" si="4"/>
        <v>4</v>
      </c>
      <c r="G194">
        <f t="shared" si="5"/>
        <v>2019</v>
      </c>
    </row>
    <row r="195" spans="1:7" x14ac:dyDescent="0.25">
      <c r="A195" s="2" t="s">
        <v>75</v>
      </c>
      <c r="B195" s="2" t="s">
        <v>116</v>
      </c>
      <c r="C195" s="2" t="s">
        <v>65</v>
      </c>
      <c r="D195" s="2" t="s">
        <v>664</v>
      </c>
      <c r="E195" s="3">
        <v>43566</v>
      </c>
      <c r="F195">
        <f t="shared" ref="F195:F258" si="6">MONTH(E195)</f>
        <v>4</v>
      </c>
      <c r="G195">
        <f t="shared" ref="G195:G258" si="7">YEAR(E195)</f>
        <v>2019</v>
      </c>
    </row>
    <row r="196" spans="1:7" x14ac:dyDescent="0.25">
      <c r="A196" s="2" t="s">
        <v>665</v>
      </c>
      <c r="B196" s="2" t="s">
        <v>666</v>
      </c>
      <c r="C196" s="2" t="s">
        <v>560</v>
      </c>
      <c r="D196" s="2" t="s">
        <v>667</v>
      </c>
      <c r="E196" s="3">
        <v>43563</v>
      </c>
      <c r="F196">
        <f t="shared" si="6"/>
        <v>4</v>
      </c>
      <c r="G196">
        <f t="shared" si="7"/>
        <v>2019</v>
      </c>
    </row>
    <row r="197" spans="1:7" x14ac:dyDescent="0.25">
      <c r="A197" s="2" t="s">
        <v>393</v>
      </c>
      <c r="B197" s="2" t="s">
        <v>668</v>
      </c>
      <c r="C197" s="2" t="s">
        <v>669</v>
      </c>
      <c r="D197" s="2" t="s">
        <v>670</v>
      </c>
      <c r="E197" s="3">
        <v>43563</v>
      </c>
      <c r="F197">
        <f t="shared" si="6"/>
        <v>4</v>
      </c>
      <c r="G197">
        <f t="shared" si="7"/>
        <v>2019</v>
      </c>
    </row>
    <row r="198" spans="1:7" x14ac:dyDescent="0.25">
      <c r="A198" s="2" t="s">
        <v>671</v>
      </c>
      <c r="B198" s="2" t="s">
        <v>672</v>
      </c>
      <c r="C198" s="2" t="s">
        <v>673</v>
      </c>
      <c r="D198" s="2" t="s">
        <v>674</v>
      </c>
      <c r="E198" s="3">
        <v>43563</v>
      </c>
      <c r="F198">
        <f t="shared" si="6"/>
        <v>4</v>
      </c>
      <c r="G198">
        <f t="shared" si="7"/>
        <v>2019</v>
      </c>
    </row>
    <row r="199" spans="1:7" x14ac:dyDescent="0.25">
      <c r="A199" s="2" t="s">
        <v>675</v>
      </c>
      <c r="B199" s="2" t="s">
        <v>676</v>
      </c>
      <c r="C199" s="2" t="s">
        <v>677</v>
      </c>
      <c r="D199" s="2" t="s">
        <v>678</v>
      </c>
      <c r="E199" s="3">
        <v>43562</v>
      </c>
      <c r="F199">
        <f t="shared" si="6"/>
        <v>4</v>
      </c>
      <c r="G199">
        <f t="shared" si="7"/>
        <v>2019</v>
      </c>
    </row>
    <row r="200" spans="1:7" x14ac:dyDescent="0.25">
      <c r="A200" s="2" t="s">
        <v>679</v>
      </c>
      <c r="B200" s="2" t="s">
        <v>680</v>
      </c>
      <c r="C200" s="2" t="s">
        <v>681</v>
      </c>
      <c r="D200" s="2" t="s">
        <v>682</v>
      </c>
      <c r="E200" s="3">
        <v>43562</v>
      </c>
      <c r="F200">
        <f t="shared" si="6"/>
        <v>4</v>
      </c>
      <c r="G200">
        <f t="shared" si="7"/>
        <v>2019</v>
      </c>
    </row>
    <row r="201" spans="1:7" x14ac:dyDescent="0.25">
      <c r="A201" s="2" t="s">
        <v>683</v>
      </c>
      <c r="B201" s="2" t="s">
        <v>684</v>
      </c>
      <c r="C201" s="2" t="s">
        <v>501</v>
      </c>
      <c r="D201" s="2" t="s">
        <v>685</v>
      </c>
      <c r="E201" s="3">
        <v>43561</v>
      </c>
      <c r="F201">
        <f t="shared" si="6"/>
        <v>4</v>
      </c>
      <c r="G201">
        <f t="shared" si="7"/>
        <v>2019</v>
      </c>
    </row>
    <row r="202" spans="1:7" ht="36" x14ac:dyDescent="0.25">
      <c r="A202" s="2" t="s">
        <v>686</v>
      </c>
      <c r="B202" s="2" t="s">
        <v>687</v>
      </c>
      <c r="C202" s="2" t="s">
        <v>688</v>
      </c>
      <c r="D202" s="2" t="s">
        <v>689</v>
      </c>
      <c r="E202" s="3">
        <v>43561</v>
      </c>
      <c r="F202">
        <f t="shared" si="6"/>
        <v>4</v>
      </c>
      <c r="G202">
        <f t="shared" si="7"/>
        <v>2019</v>
      </c>
    </row>
    <row r="203" spans="1:7" x14ac:dyDescent="0.25">
      <c r="A203" s="2" t="s">
        <v>690</v>
      </c>
      <c r="B203" s="2" t="s">
        <v>691</v>
      </c>
      <c r="C203" s="2" t="s">
        <v>508</v>
      </c>
      <c r="D203" s="2" t="s">
        <v>28</v>
      </c>
      <c r="E203" s="3">
        <v>43561</v>
      </c>
      <c r="F203">
        <f t="shared" si="6"/>
        <v>4</v>
      </c>
      <c r="G203">
        <f t="shared" si="7"/>
        <v>2019</v>
      </c>
    </row>
    <row r="204" spans="1:7" x14ac:dyDescent="0.25">
      <c r="A204" s="2" t="s">
        <v>692</v>
      </c>
      <c r="B204" s="2" t="s">
        <v>693</v>
      </c>
      <c r="C204" s="2" t="s">
        <v>511</v>
      </c>
      <c r="D204" s="2" t="s">
        <v>694</v>
      </c>
      <c r="E204" s="3">
        <v>43560</v>
      </c>
      <c r="F204">
        <f t="shared" si="6"/>
        <v>4</v>
      </c>
      <c r="G204">
        <f t="shared" si="7"/>
        <v>2019</v>
      </c>
    </row>
    <row r="205" spans="1:7" ht="24" x14ac:dyDescent="0.25">
      <c r="A205" s="2" t="s">
        <v>695</v>
      </c>
      <c r="B205" s="2" t="s">
        <v>696</v>
      </c>
      <c r="C205" s="2" t="s">
        <v>697</v>
      </c>
      <c r="D205" s="2" t="s">
        <v>698</v>
      </c>
      <c r="E205" s="3">
        <v>43559</v>
      </c>
      <c r="F205">
        <f t="shared" si="6"/>
        <v>4</v>
      </c>
      <c r="G205">
        <f t="shared" si="7"/>
        <v>2019</v>
      </c>
    </row>
    <row r="206" spans="1:7" x14ac:dyDescent="0.25">
      <c r="A206" s="2" t="s">
        <v>699</v>
      </c>
      <c r="B206" s="2" t="s">
        <v>700</v>
      </c>
      <c r="C206" s="2" t="s">
        <v>701</v>
      </c>
      <c r="D206" s="2" t="s">
        <v>702</v>
      </c>
      <c r="E206" s="3">
        <v>43559</v>
      </c>
      <c r="F206">
        <f t="shared" si="6"/>
        <v>4</v>
      </c>
      <c r="G206">
        <f t="shared" si="7"/>
        <v>2019</v>
      </c>
    </row>
    <row r="207" spans="1:7" x14ac:dyDescent="0.25">
      <c r="A207" s="2" t="s">
        <v>703</v>
      </c>
      <c r="B207" s="2" t="s">
        <v>704</v>
      </c>
      <c r="C207" s="2" t="s">
        <v>65</v>
      </c>
      <c r="D207" s="2" t="s">
        <v>664</v>
      </c>
      <c r="E207" s="3">
        <v>43559</v>
      </c>
      <c r="F207">
        <f t="shared" si="6"/>
        <v>4</v>
      </c>
      <c r="G207">
        <f t="shared" si="7"/>
        <v>2019</v>
      </c>
    </row>
    <row r="208" spans="1:7" x14ac:dyDescent="0.25">
      <c r="A208" s="2" t="s">
        <v>705</v>
      </c>
      <c r="B208" s="2" t="s">
        <v>706</v>
      </c>
      <c r="C208" s="2" t="s">
        <v>707</v>
      </c>
      <c r="D208" s="2" t="s">
        <v>708</v>
      </c>
      <c r="E208" s="3">
        <v>43558</v>
      </c>
      <c r="F208">
        <f t="shared" si="6"/>
        <v>4</v>
      </c>
      <c r="G208">
        <f t="shared" si="7"/>
        <v>2019</v>
      </c>
    </row>
    <row r="209" spans="1:7" x14ac:dyDescent="0.25">
      <c r="A209" s="2" t="s">
        <v>463</v>
      </c>
      <c r="B209" s="2" t="s">
        <v>709</v>
      </c>
      <c r="C209" s="2" t="s">
        <v>710</v>
      </c>
      <c r="D209" s="2" t="s">
        <v>711</v>
      </c>
      <c r="E209" s="3">
        <v>43558</v>
      </c>
      <c r="F209">
        <f t="shared" si="6"/>
        <v>4</v>
      </c>
      <c r="G209">
        <f t="shared" si="7"/>
        <v>2019</v>
      </c>
    </row>
    <row r="210" spans="1:7" x14ac:dyDescent="0.25">
      <c r="A210" s="2" t="s">
        <v>712</v>
      </c>
      <c r="B210" s="2" t="s">
        <v>713</v>
      </c>
      <c r="C210" s="2" t="s">
        <v>714</v>
      </c>
      <c r="D210" s="2" t="s">
        <v>373</v>
      </c>
      <c r="E210" s="3">
        <v>43556</v>
      </c>
      <c r="F210">
        <f t="shared" si="6"/>
        <v>4</v>
      </c>
      <c r="G210">
        <f t="shared" si="7"/>
        <v>2019</v>
      </c>
    </row>
    <row r="211" spans="1:7" x14ac:dyDescent="0.25">
      <c r="A211" s="2" t="s">
        <v>715</v>
      </c>
      <c r="B211" s="2" t="s">
        <v>716</v>
      </c>
      <c r="C211" s="2" t="s">
        <v>717</v>
      </c>
      <c r="D211" s="2" t="s">
        <v>718</v>
      </c>
      <c r="E211" s="3">
        <v>43555</v>
      </c>
      <c r="F211">
        <f t="shared" si="6"/>
        <v>3</v>
      </c>
      <c r="G211">
        <f t="shared" si="7"/>
        <v>2019</v>
      </c>
    </row>
    <row r="212" spans="1:7" x14ac:dyDescent="0.25">
      <c r="A212" s="2" t="s">
        <v>719</v>
      </c>
      <c r="B212" s="2" t="s">
        <v>720</v>
      </c>
      <c r="C212" s="2" t="s">
        <v>721</v>
      </c>
      <c r="D212" s="2" t="s">
        <v>722</v>
      </c>
      <c r="E212" s="3">
        <v>43555</v>
      </c>
      <c r="F212">
        <f t="shared" si="6"/>
        <v>3</v>
      </c>
      <c r="G212">
        <f t="shared" si="7"/>
        <v>2019</v>
      </c>
    </row>
    <row r="213" spans="1:7" x14ac:dyDescent="0.25">
      <c r="A213" s="2" t="s">
        <v>723</v>
      </c>
      <c r="B213" s="2" t="s">
        <v>724</v>
      </c>
      <c r="C213" s="2" t="s">
        <v>725</v>
      </c>
      <c r="D213" s="2" t="s">
        <v>476</v>
      </c>
      <c r="E213" s="3">
        <v>43554</v>
      </c>
      <c r="F213">
        <f t="shared" si="6"/>
        <v>3</v>
      </c>
      <c r="G213">
        <f t="shared" si="7"/>
        <v>2019</v>
      </c>
    </row>
    <row r="214" spans="1:7" x14ac:dyDescent="0.25">
      <c r="A214" s="2" t="s">
        <v>726</v>
      </c>
      <c r="B214" s="2" t="s">
        <v>727</v>
      </c>
      <c r="C214" s="2" t="s">
        <v>728</v>
      </c>
      <c r="D214" s="2" t="s">
        <v>729</v>
      </c>
      <c r="E214" s="3">
        <v>43554</v>
      </c>
      <c r="F214">
        <f t="shared" si="6"/>
        <v>3</v>
      </c>
      <c r="G214">
        <f t="shared" si="7"/>
        <v>2019</v>
      </c>
    </row>
    <row r="215" spans="1:7" ht="24" x14ac:dyDescent="0.25">
      <c r="A215" s="2" t="s">
        <v>730</v>
      </c>
      <c r="B215" s="2" t="s">
        <v>731</v>
      </c>
      <c r="C215" s="2" t="s">
        <v>732</v>
      </c>
      <c r="D215" s="2" t="s">
        <v>733</v>
      </c>
      <c r="E215" s="3">
        <v>43553</v>
      </c>
      <c r="F215">
        <f t="shared" si="6"/>
        <v>3</v>
      </c>
      <c r="G215">
        <f t="shared" si="7"/>
        <v>2019</v>
      </c>
    </row>
    <row r="216" spans="1:7" x14ac:dyDescent="0.25">
      <c r="A216" s="2" t="s">
        <v>734</v>
      </c>
      <c r="B216" s="2" t="s">
        <v>735</v>
      </c>
      <c r="C216" s="2" t="s">
        <v>736</v>
      </c>
      <c r="D216" s="2" t="s">
        <v>737</v>
      </c>
      <c r="E216" s="3">
        <v>43551</v>
      </c>
      <c r="F216">
        <f t="shared" si="6"/>
        <v>3</v>
      </c>
      <c r="G216">
        <f t="shared" si="7"/>
        <v>2019</v>
      </c>
    </row>
    <row r="217" spans="1:7" x14ac:dyDescent="0.25">
      <c r="A217" s="2" t="s">
        <v>738</v>
      </c>
      <c r="B217" s="2" t="s">
        <v>739</v>
      </c>
      <c r="C217" s="2" t="s">
        <v>140</v>
      </c>
      <c r="D217" s="2" t="s">
        <v>740</v>
      </c>
      <c r="E217" s="3">
        <v>43550</v>
      </c>
      <c r="F217">
        <f t="shared" si="6"/>
        <v>3</v>
      </c>
      <c r="G217">
        <f t="shared" si="7"/>
        <v>2019</v>
      </c>
    </row>
    <row r="218" spans="1:7" x14ac:dyDescent="0.25">
      <c r="A218" s="2" t="s">
        <v>741</v>
      </c>
      <c r="B218" s="2" t="s">
        <v>742</v>
      </c>
      <c r="C218" s="2" t="s">
        <v>743</v>
      </c>
      <c r="D218" s="2" t="s">
        <v>744</v>
      </c>
      <c r="E218" s="3">
        <v>43548</v>
      </c>
      <c r="F218">
        <f t="shared" si="6"/>
        <v>3</v>
      </c>
      <c r="G218">
        <f t="shared" si="7"/>
        <v>2019</v>
      </c>
    </row>
    <row r="219" spans="1:7" x14ac:dyDescent="0.25">
      <c r="A219" s="2" t="s">
        <v>745</v>
      </c>
      <c r="B219" s="2" t="s">
        <v>746</v>
      </c>
      <c r="C219" s="2" t="s">
        <v>747</v>
      </c>
      <c r="D219" s="2" t="s">
        <v>748</v>
      </c>
      <c r="E219" s="3">
        <v>43548</v>
      </c>
      <c r="F219">
        <f t="shared" si="6"/>
        <v>3</v>
      </c>
      <c r="G219">
        <f t="shared" si="7"/>
        <v>2019</v>
      </c>
    </row>
    <row r="220" spans="1:7" x14ac:dyDescent="0.25">
      <c r="A220" s="2" t="s">
        <v>513</v>
      </c>
      <c r="B220" s="2" t="s">
        <v>749</v>
      </c>
      <c r="C220" s="2" t="s">
        <v>750</v>
      </c>
      <c r="D220" s="2" t="s">
        <v>114</v>
      </c>
      <c r="E220" s="3">
        <v>43547</v>
      </c>
      <c r="F220">
        <f t="shared" si="6"/>
        <v>3</v>
      </c>
      <c r="G220">
        <f t="shared" si="7"/>
        <v>2019</v>
      </c>
    </row>
    <row r="221" spans="1:7" ht="24" x14ac:dyDescent="0.25">
      <c r="A221" s="2" t="s">
        <v>751</v>
      </c>
      <c r="B221" s="2" t="s">
        <v>752</v>
      </c>
      <c r="C221" s="2" t="s">
        <v>753</v>
      </c>
      <c r="D221" s="2" t="s">
        <v>754</v>
      </c>
      <c r="E221" s="3">
        <v>43547</v>
      </c>
      <c r="F221">
        <f t="shared" si="6"/>
        <v>3</v>
      </c>
      <c r="G221">
        <f t="shared" si="7"/>
        <v>2019</v>
      </c>
    </row>
    <row r="222" spans="1:7" ht="24" x14ac:dyDescent="0.25">
      <c r="A222" s="2" t="s">
        <v>755</v>
      </c>
      <c r="B222" s="2" t="s">
        <v>756</v>
      </c>
      <c r="C222" s="2" t="s">
        <v>200</v>
      </c>
      <c r="D222" s="2" t="s">
        <v>757</v>
      </c>
      <c r="E222" s="3">
        <v>43545</v>
      </c>
      <c r="F222">
        <f t="shared" si="6"/>
        <v>3</v>
      </c>
      <c r="G222">
        <f t="shared" si="7"/>
        <v>2019</v>
      </c>
    </row>
    <row r="223" spans="1:7" x14ac:dyDescent="0.25">
      <c r="A223" s="2" t="s">
        <v>268</v>
      </c>
      <c r="B223" s="2" t="s">
        <v>758</v>
      </c>
      <c r="C223" s="2" t="s">
        <v>759</v>
      </c>
      <c r="D223" s="2" t="s">
        <v>760</v>
      </c>
      <c r="E223" s="3">
        <v>43545</v>
      </c>
      <c r="F223">
        <f t="shared" si="6"/>
        <v>3</v>
      </c>
      <c r="G223">
        <f t="shared" si="7"/>
        <v>2019</v>
      </c>
    </row>
    <row r="224" spans="1:7" ht="24" x14ac:dyDescent="0.25">
      <c r="A224" s="2" t="s">
        <v>761</v>
      </c>
      <c r="B224" s="2" t="s">
        <v>762</v>
      </c>
      <c r="C224" s="2" t="s">
        <v>763</v>
      </c>
      <c r="D224" s="2" t="s">
        <v>168</v>
      </c>
      <c r="E224" s="3">
        <v>43545</v>
      </c>
      <c r="F224">
        <f t="shared" si="6"/>
        <v>3</v>
      </c>
      <c r="G224">
        <f t="shared" si="7"/>
        <v>2019</v>
      </c>
    </row>
    <row r="225" spans="1:7" x14ac:dyDescent="0.25">
      <c r="A225" s="2" t="s">
        <v>764</v>
      </c>
      <c r="B225" s="2" t="s">
        <v>765</v>
      </c>
      <c r="C225" s="2" t="s">
        <v>766</v>
      </c>
      <c r="D225" s="2" t="s">
        <v>767</v>
      </c>
      <c r="E225" s="3">
        <v>43543</v>
      </c>
      <c r="F225">
        <f t="shared" si="6"/>
        <v>3</v>
      </c>
      <c r="G225">
        <f t="shared" si="7"/>
        <v>2019</v>
      </c>
    </row>
    <row r="226" spans="1:7" x14ac:dyDescent="0.25">
      <c r="A226" s="2" t="s">
        <v>768</v>
      </c>
      <c r="B226" s="2" t="s">
        <v>769</v>
      </c>
      <c r="C226" s="2" t="s">
        <v>770</v>
      </c>
      <c r="D226" s="2" t="s">
        <v>771</v>
      </c>
      <c r="E226" s="3">
        <v>43542</v>
      </c>
      <c r="F226">
        <f t="shared" si="6"/>
        <v>3</v>
      </c>
      <c r="G226">
        <f t="shared" si="7"/>
        <v>2019</v>
      </c>
    </row>
    <row r="227" spans="1:7" x14ac:dyDescent="0.25">
      <c r="A227" s="2" t="s">
        <v>772</v>
      </c>
      <c r="B227" s="2" t="s">
        <v>773</v>
      </c>
      <c r="C227" s="2" t="s">
        <v>774</v>
      </c>
      <c r="D227" s="2" t="s">
        <v>775</v>
      </c>
      <c r="E227" s="3">
        <v>43540</v>
      </c>
      <c r="F227">
        <f t="shared" si="6"/>
        <v>3</v>
      </c>
      <c r="G227">
        <f t="shared" si="7"/>
        <v>2019</v>
      </c>
    </row>
    <row r="228" spans="1:7" x14ac:dyDescent="0.25">
      <c r="A228" s="2" t="s">
        <v>776</v>
      </c>
      <c r="B228" s="2" t="s">
        <v>777</v>
      </c>
      <c r="C228" s="2" t="s">
        <v>778</v>
      </c>
      <c r="D228" s="2" t="s">
        <v>201</v>
      </c>
      <c r="E228" s="3">
        <v>43540</v>
      </c>
      <c r="F228">
        <f t="shared" si="6"/>
        <v>3</v>
      </c>
      <c r="G228">
        <f t="shared" si="7"/>
        <v>2019</v>
      </c>
    </row>
    <row r="229" spans="1:7" x14ac:dyDescent="0.25">
      <c r="A229" s="2" t="s">
        <v>779</v>
      </c>
      <c r="B229" s="2" t="s">
        <v>147</v>
      </c>
      <c r="C229" s="2" t="s">
        <v>11</v>
      </c>
      <c r="D229" s="2" t="s">
        <v>502</v>
      </c>
      <c r="E229" s="3">
        <v>43537</v>
      </c>
      <c r="F229">
        <f t="shared" si="6"/>
        <v>3</v>
      </c>
      <c r="G229">
        <f t="shared" si="7"/>
        <v>2019</v>
      </c>
    </row>
    <row r="230" spans="1:7" x14ac:dyDescent="0.25">
      <c r="A230" s="2" t="s">
        <v>780</v>
      </c>
      <c r="B230" s="2" t="s">
        <v>232</v>
      </c>
      <c r="C230" s="2" t="s">
        <v>508</v>
      </c>
      <c r="D230" s="2" t="s">
        <v>168</v>
      </c>
      <c r="E230" s="3">
        <v>43536</v>
      </c>
      <c r="F230">
        <f t="shared" si="6"/>
        <v>3</v>
      </c>
      <c r="G230">
        <f t="shared" si="7"/>
        <v>2019</v>
      </c>
    </row>
    <row r="231" spans="1:7" x14ac:dyDescent="0.25">
      <c r="A231" s="2" t="s">
        <v>781</v>
      </c>
      <c r="B231" s="2" t="s">
        <v>782</v>
      </c>
      <c r="C231" s="2" t="s">
        <v>783</v>
      </c>
      <c r="D231" s="2" t="s">
        <v>784</v>
      </c>
      <c r="E231" s="3">
        <v>43536</v>
      </c>
      <c r="F231">
        <f t="shared" si="6"/>
        <v>3</v>
      </c>
      <c r="G231">
        <f t="shared" si="7"/>
        <v>2019</v>
      </c>
    </row>
    <row r="232" spans="1:7" x14ac:dyDescent="0.25">
      <c r="A232" s="2" t="s">
        <v>785</v>
      </c>
      <c r="B232" s="2" t="s">
        <v>786</v>
      </c>
      <c r="C232" s="2" t="s">
        <v>787</v>
      </c>
      <c r="D232" s="2" t="s">
        <v>168</v>
      </c>
      <c r="E232" s="3">
        <v>43533</v>
      </c>
      <c r="F232">
        <f t="shared" si="6"/>
        <v>3</v>
      </c>
      <c r="G232">
        <f t="shared" si="7"/>
        <v>2019</v>
      </c>
    </row>
    <row r="233" spans="1:7" x14ac:dyDescent="0.25">
      <c r="A233" s="2" t="s">
        <v>788</v>
      </c>
      <c r="B233" s="2" t="s">
        <v>789</v>
      </c>
      <c r="C233" s="2" t="s">
        <v>65</v>
      </c>
      <c r="D233" s="2" t="s">
        <v>790</v>
      </c>
      <c r="E233" s="3">
        <v>43533</v>
      </c>
      <c r="F233">
        <f t="shared" si="6"/>
        <v>3</v>
      </c>
      <c r="G233">
        <f t="shared" si="7"/>
        <v>2019</v>
      </c>
    </row>
    <row r="234" spans="1:7" ht="36" x14ac:dyDescent="0.25">
      <c r="A234" s="2" t="s">
        <v>791</v>
      </c>
      <c r="B234" s="2" t="s">
        <v>792</v>
      </c>
      <c r="C234" s="2" t="s">
        <v>793</v>
      </c>
      <c r="D234" s="2" t="s">
        <v>794</v>
      </c>
      <c r="E234" s="3">
        <v>43532</v>
      </c>
      <c r="F234">
        <f t="shared" si="6"/>
        <v>3</v>
      </c>
      <c r="G234">
        <f t="shared" si="7"/>
        <v>2019</v>
      </c>
    </row>
    <row r="235" spans="1:7" x14ac:dyDescent="0.25">
      <c r="A235" s="2" t="s">
        <v>795</v>
      </c>
      <c r="B235" s="2" t="s">
        <v>796</v>
      </c>
      <c r="C235" s="2" t="s">
        <v>320</v>
      </c>
      <c r="D235" s="2" t="s">
        <v>797</v>
      </c>
      <c r="E235" s="3">
        <v>43530</v>
      </c>
      <c r="F235">
        <f t="shared" si="6"/>
        <v>3</v>
      </c>
      <c r="G235">
        <f t="shared" si="7"/>
        <v>2019</v>
      </c>
    </row>
    <row r="236" spans="1:7" x14ac:dyDescent="0.25">
      <c r="A236" s="2" t="s">
        <v>798</v>
      </c>
      <c r="B236" s="2" t="s">
        <v>799</v>
      </c>
      <c r="C236" s="2" t="s">
        <v>800</v>
      </c>
      <c r="D236" s="2" t="s">
        <v>801</v>
      </c>
      <c r="E236" s="3">
        <v>43530</v>
      </c>
      <c r="F236">
        <f t="shared" si="6"/>
        <v>3</v>
      </c>
      <c r="G236">
        <f t="shared" si="7"/>
        <v>2019</v>
      </c>
    </row>
    <row r="237" spans="1:7" ht="24" x14ac:dyDescent="0.25">
      <c r="A237" s="2" t="s">
        <v>802</v>
      </c>
      <c r="B237" s="2" t="s">
        <v>803</v>
      </c>
      <c r="C237" s="2" t="s">
        <v>804</v>
      </c>
      <c r="D237" s="2" t="s">
        <v>805</v>
      </c>
      <c r="E237" s="3">
        <v>43529</v>
      </c>
      <c r="F237">
        <f t="shared" si="6"/>
        <v>3</v>
      </c>
      <c r="G237">
        <f t="shared" si="7"/>
        <v>2019</v>
      </c>
    </row>
    <row r="238" spans="1:7" x14ac:dyDescent="0.25">
      <c r="A238" s="2" t="s">
        <v>806</v>
      </c>
      <c r="B238" s="2" t="s">
        <v>807</v>
      </c>
      <c r="C238" s="2" t="s">
        <v>808</v>
      </c>
      <c r="D238" s="2" t="s">
        <v>809</v>
      </c>
      <c r="E238" s="3">
        <v>43529</v>
      </c>
      <c r="F238">
        <f t="shared" si="6"/>
        <v>3</v>
      </c>
      <c r="G238">
        <f t="shared" si="7"/>
        <v>2019</v>
      </c>
    </row>
    <row r="239" spans="1:7" ht="24" x14ac:dyDescent="0.25">
      <c r="A239" s="2" t="s">
        <v>788</v>
      </c>
      <c r="B239" s="2" t="s">
        <v>810</v>
      </c>
      <c r="C239" s="2" t="s">
        <v>811</v>
      </c>
      <c r="D239" s="2" t="s">
        <v>287</v>
      </c>
      <c r="E239" s="3">
        <v>43528</v>
      </c>
      <c r="F239">
        <f t="shared" si="6"/>
        <v>3</v>
      </c>
      <c r="G239">
        <f t="shared" si="7"/>
        <v>2019</v>
      </c>
    </row>
    <row r="240" spans="1:7" x14ac:dyDescent="0.25">
      <c r="A240" s="2" t="s">
        <v>812</v>
      </c>
      <c r="B240" s="2" t="s">
        <v>813</v>
      </c>
      <c r="C240" s="2" t="s">
        <v>814</v>
      </c>
      <c r="D240" s="2" t="s">
        <v>815</v>
      </c>
      <c r="E240" s="3">
        <v>43527</v>
      </c>
      <c r="F240">
        <f t="shared" si="6"/>
        <v>3</v>
      </c>
      <c r="G240">
        <f t="shared" si="7"/>
        <v>2019</v>
      </c>
    </row>
    <row r="241" spans="1:7" ht="24" x14ac:dyDescent="0.25">
      <c r="A241" s="2" t="s">
        <v>816</v>
      </c>
      <c r="B241" s="2" t="s">
        <v>151</v>
      </c>
      <c r="C241" s="2" t="s">
        <v>626</v>
      </c>
      <c r="D241" s="2" t="s">
        <v>817</v>
      </c>
      <c r="E241" s="3">
        <v>43526</v>
      </c>
      <c r="F241">
        <f t="shared" si="6"/>
        <v>3</v>
      </c>
      <c r="G241">
        <f t="shared" si="7"/>
        <v>2019</v>
      </c>
    </row>
    <row r="242" spans="1:7" x14ac:dyDescent="0.25">
      <c r="A242" s="2" t="s">
        <v>818</v>
      </c>
      <c r="B242" s="2" t="s">
        <v>819</v>
      </c>
      <c r="C242" s="2" t="s">
        <v>820</v>
      </c>
      <c r="D242" s="2" t="s">
        <v>821</v>
      </c>
      <c r="E242" s="3">
        <v>43525</v>
      </c>
      <c r="F242">
        <f t="shared" si="6"/>
        <v>3</v>
      </c>
      <c r="G242">
        <f t="shared" si="7"/>
        <v>2019</v>
      </c>
    </row>
    <row r="243" spans="1:7" ht="36" x14ac:dyDescent="0.25">
      <c r="A243" s="2" t="s">
        <v>822</v>
      </c>
      <c r="B243" s="2" t="s">
        <v>823</v>
      </c>
      <c r="C243" s="2" t="s">
        <v>824</v>
      </c>
      <c r="D243" s="2" t="s">
        <v>825</v>
      </c>
      <c r="E243" s="3">
        <v>43524</v>
      </c>
      <c r="F243">
        <f t="shared" si="6"/>
        <v>2</v>
      </c>
      <c r="G243">
        <f t="shared" si="7"/>
        <v>2019</v>
      </c>
    </row>
    <row r="244" spans="1:7" x14ac:dyDescent="0.25">
      <c r="A244" s="2" t="s">
        <v>21</v>
      </c>
      <c r="B244" s="2" t="s">
        <v>810</v>
      </c>
      <c r="C244" s="2" t="s">
        <v>826</v>
      </c>
      <c r="D244" s="2" t="s">
        <v>827</v>
      </c>
      <c r="E244" s="3">
        <v>43521</v>
      </c>
      <c r="F244">
        <f t="shared" si="6"/>
        <v>2</v>
      </c>
      <c r="G244">
        <f t="shared" si="7"/>
        <v>2019</v>
      </c>
    </row>
    <row r="245" spans="1:7" x14ac:dyDescent="0.25">
      <c r="A245" s="2" t="s">
        <v>828</v>
      </c>
      <c r="B245" s="2" t="s">
        <v>829</v>
      </c>
      <c r="C245" s="2" t="s">
        <v>830</v>
      </c>
      <c r="D245" s="2" t="s">
        <v>831</v>
      </c>
      <c r="E245" s="3">
        <v>43515</v>
      </c>
      <c r="F245">
        <f t="shared" si="6"/>
        <v>2</v>
      </c>
      <c r="G245">
        <f t="shared" si="7"/>
        <v>2019</v>
      </c>
    </row>
    <row r="246" spans="1:7" x14ac:dyDescent="0.25">
      <c r="A246" s="2" t="s">
        <v>832</v>
      </c>
      <c r="B246" s="2" t="s">
        <v>68</v>
      </c>
      <c r="C246" s="2" t="s">
        <v>833</v>
      </c>
      <c r="D246" s="2" t="s">
        <v>834</v>
      </c>
      <c r="E246" s="3">
        <v>43515</v>
      </c>
      <c r="F246">
        <f t="shared" si="6"/>
        <v>2</v>
      </c>
      <c r="G246">
        <f t="shared" si="7"/>
        <v>2019</v>
      </c>
    </row>
    <row r="247" spans="1:7" x14ac:dyDescent="0.25">
      <c r="A247" s="2" t="s">
        <v>835</v>
      </c>
      <c r="B247" s="2" t="s">
        <v>836</v>
      </c>
      <c r="C247" s="2" t="s">
        <v>837</v>
      </c>
      <c r="D247" s="2" t="s">
        <v>838</v>
      </c>
      <c r="E247" s="3">
        <v>43512</v>
      </c>
      <c r="F247">
        <f t="shared" si="6"/>
        <v>2</v>
      </c>
      <c r="G247">
        <f t="shared" si="7"/>
        <v>2019</v>
      </c>
    </row>
    <row r="248" spans="1:7" x14ac:dyDescent="0.25">
      <c r="A248" s="2" t="s">
        <v>569</v>
      </c>
      <c r="B248" s="2" t="s">
        <v>839</v>
      </c>
      <c r="C248" s="2" t="s">
        <v>11</v>
      </c>
      <c r="D248" s="2" t="s">
        <v>51</v>
      </c>
      <c r="E248" s="3">
        <v>43509</v>
      </c>
      <c r="F248">
        <f t="shared" si="6"/>
        <v>2</v>
      </c>
      <c r="G248">
        <f t="shared" si="7"/>
        <v>2019</v>
      </c>
    </row>
    <row r="249" spans="1:7" x14ac:dyDescent="0.25">
      <c r="A249" s="2" t="s">
        <v>840</v>
      </c>
      <c r="B249" s="2" t="s">
        <v>841</v>
      </c>
      <c r="C249" s="2" t="s">
        <v>842</v>
      </c>
      <c r="D249" s="2" t="s">
        <v>843</v>
      </c>
      <c r="E249" s="3">
        <v>43509</v>
      </c>
      <c r="F249">
        <f t="shared" si="6"/>
        <v>2</v>
      </c>
      <c r="G249">
        <f t="shared" si="7"/>
        <v>2019</v>
      </c>
    </row>
    <row r="250" spans="1:7" x14ac:dyDescent="0.25">
      <c r="A250" s="2" t="s">
        <v>844</v>
      </c>
      <c r="B250" s="2" t="s">
        <v>845</v>
      </c>
      <c r="C250" s="2" t="s">
        <v>846</v>
      </c>
      <c r="D250" s="2" t="s">
        <v>847</v>
      </c>
      <c r="E250" s="3">
        <v>43508</v>
      </c>
      <c r="F250">
        <f t="shared" si="6"/>
        <v>2</v>
      </c>
      <c r="G250">
        <f t="shared" si="7"/>
        <v>2019</v>
      </c>
    </row>
    <row r="251" spans="1:7" x14ac:dyDescent="0.25">
      <c r="A251" s="2" t="s">
        <v>848</v>
      </c>
      <c r="B251" s="2" t="s">
        <v>849</v>
      </c>
      <c r="C251" s="2" t="s">
        <v>850</v>
      </c>
      <c r="D251" s="2" t="s">
        <v>851</v>
      </c>
      <c r="E251" s="3">
        <v>43508</v>
      </c>
      <c r="F251">
        <f t="shared" si="6"/>
        <v>2</v>
      </c>
      <c r="G251">
        <f t="shared" si="7"/>
        <v>2019</v>
      </c>
    </row>
    <row r="252" spans="1:7" x14ac:dyDescent="0.25">
      <c r="A252" s="2" t="s">
        <v>852</v>
      </c>
      <c r="B252" s="2" t="s">
        <v>853</v>
      </c>
      <c r="C252" s="2" t="s">
        <v>854</v>
      </c>
      <c r="D252" s="2" t="s">
        <v>855</v>
      </c>
      <c r="E252" s="3">
        <v>43508</v>
      </c>
      <c r="F252">
        <f t="shared" si="6"/>
        <v>2</v>
      </c>
      <c r="G252">
        <f t="shared" si="7"/>
        <v>2019</v>
      </c>
    </row>
    <row r="253" spans="1:7" x14ac:dyDescent="0.25">
      <c r="A253" s="2" t="s">
        <v>856</v>
      </c>
      <c r="B253" s="2" t="s">
        <v>857</v>
      </c>
      <c r="C253" s="2" t="s">
        <v>456</v>
      </c>
      <c r="D253" s="2" t="s">
        <v>858</v>
      </c>
      <c r="E253" s="3">
        <v>43508</v>
      </c>
      <c r="F253">
        <f t="shared" si="6"/>
        <v>2</v>
      </c>
      <c r="G253">
        <f t="shared" si="7"/>
        <v>2019</v>
      </c>
    </row>
    <row r="254" spans="1:7" x14ac:dyDescent="0.25">
      <c r="A254" s="2" t="s">
        <v>859</v>
      </c>
      <c r="B254" s="2" t="s">
        <v>860</v>
      </c>
      <c r="C254" s="2" t="s">
        <v>861</v>
      </c>
      <c r="D254" s="2" t="s">
        <v>862</v>
      </c>
      <c r="E254" s="3">
        <v>43508</v>
      </c>
      <c r="F254">
        <f t="shared" si="6"/>
        <v>2</v>
      </c>
      <c r="G254">
        <f t="shared" si="7"/>
        <v>2019</v>
      </c>
    </row>
    <row r="255" spans="1:7" ht="24" x14ac:dyDescent="0.25">
      <c r="A255" s="2" t="s">
        <v>863</v>
      </c>
      <c r="B255" s="2" t="s">
        <v>550</v>
      </c>
      <c r="C255" s="2" t="s">
        <v>864</v>
      </c>
      <c r="D255" s="2" t="s">
        <v>865</v>
      </c>
      <c r="E255" s="3">
        <v>43507</v>
      </c>
      <c r="F255">
        <f t="shared" si="6"/>
        <v>2</v>
      </c>
      <c r="G255">
        <f t="shared" si="7"/>
        <v>2019</v>
      </c>
    </row>
    <row r="256" spans="1:7" ht="36" x14ac:dyDescent="0.25">
      <c r="A256" s="2" t="s">
        <v>866</v>
      </c>
      <c r="B256" s="2" t="s">
        <v>867</v>
      </c>
      <c r="C256" s="2" t="s">
        <v>140</v>
      </c>
      <c r="D256" s="2" t="s">
        <v>868</v>
      </c>
      <c r="E256" s="3">
        <v>43507</v>
      </c>
      <c r="F256">
        <f t="shared" si="6"/>
        <v>2</v>
      </c>
      <c r="G256">
        <f t="shared" si="7"/>
        <v>2019</v>
      </c>
    </row>
    <row r="257" spans="1:7" x14ac:dyDescent="0.25">
      <c r="A257" s="2" t="s">
        <v>869</v>
      </c>
      <c r="B257" s="2" t="s">
        <v>68</v>
      </c>
      <c r="C257" s="2" t="s">
        <v>456</v>
      </c>
      <c r="D257" s="2" t="s">
        <v>870</v>
      </c>
      <c r="E257" s="3">
        <v>43505</v>
      </c>
      <c r="F257">
        <f t="shared" si="6"/>
        <v>2</v>
      </c>
      <c r="G257">
        <f t="shared" si="7"/>
        <v>2019</v>
      </c>
    </row>
    <row r="258" spans="1:7" x14ac:dyDescent="0.25">
      <c r="A258" s="2" t="s">
        <v>871</v>
      </c>
      <c r="B258" s="2" t="s">
        <v>10</v>
      </c>
      <c r="C258" s="2" t="s">
        <v>872</v>
      </c>
      <c r="D258" s="2" t="s">
        <v>873</v>
      </c>
      <c r="E258" s="3">
        <v>43503</v>
      </c>
      <c r="F258">
        <f t="shared" si="6"/>
        <v>2</v>
      </c>
      <c r="G258">
        <f t="shared" si="7"/>
        <v>2019</v>
      </c>
    </row>
    <row r="259" spans="1:7" x14ac:dyDescent="0.25">
      <c r="A259" s="2" t="s">
        <v>874</v>
      </c>
      <c r="B259" s="2" t="s">
        <v>875</v>
      </c>
      <c r="C259" s="2" t="s">
        <v>140</v>
      </c>
      <c r="D259" s="2" t="s">
        <v>876</v>
      </c>
      <c r="E259" s="3">
        <v>43503</v>
      </c>
      <c r="F259">
        <f t="shared" ref="F259:F322" si="8">MONTH(E259)</f>
        <v>2</v>
      </c>
      <c r="G259">
        <f t="shared" ref="G259:G322" si="9">YEAR(E259)</f>
        <v>2019</v>
      </c>
    </row>
    <row r="260" spans="1:7" x14ac:dyDescent="0.25">
      <c r="A260" s="2" t="s">
        <v>877</v>
      </c>
      <c r="B260" s="2" t="s">
        <v>878</v>
      </c>
      <c r="C260" s="2" t="s">
        <v>69</v>
      </c>
      <c r="D260" s="2" t="s">
        <v>879</v>
      </c>
      <c r="E260" s="3">
        <v>43502</v>
      </c>
      <c r="F260">
        <f t="shared" si="8"/>
        <v>2</v>
      </c>
      <c r="G260">
        <f t="shared" si="9"/>
        <v>2019</v>
      </c>
    </row>
    <row r="261" spans="1:7" x14ac:dyDescent="0.25">
      <c r="A261" s="2" t="s">
        <v>67</v>
      </c>
      <c r="B261" s="2" t="s">
        <v>880</v>
      </c>
      <c r="C261" s="2" t="s">
        <v>881</v>
      </c>
      <c r="D261" s="2" t="s">
        <v>882</v>
      </c>
      <c r="E261" s="3">
        <v>43502</v>
      </c>
      <c r="F261">
        <f t="shared" si="8"/>
        <v>2</v>
      </c>
      <c r="G261">
        <f t="shared" si="9"/>
        <v>2019</v>
      </c>
    </row>
    <row r="262" spans="1:7" x14ac:dyDescent="0.25">
      <c r="A262" s="2" t="s">
        <v>755</v>
      </c>
      <c r="B262" s="2" t="s">
        <v>883</v>
      </c>
      <c r="C262" s="2" t="s">
        <v>884</v>
      </c>
      <c r="D262" s="2" t="s">
        <v>885</v>
      </c>
      <c r="E262" s="3">
        <v>43501</v>
      </c>
      <c r="F262">
        <f t="shared" si="8"/>
        <v>2</v>
      </c>
      <c r="G262">
        <f t="shared" si="9"/>
        <v>2019</v>
      </c>
    </row>
    <row r="263" spans="1:7" x14ac:dyDescent="0.25">
      <c r="A263" s="2" t="s">
        <v>886</v>
      </c>
      <c r="B263" s="2" t="s">
        <v>887</v>
      </c>
      <c r="C263" s="2" t="s">
        <v>38</v>
      </c>
      <c r="D263" s="2" t="s">
        <v>28</v>
      </c>
      <c r="E263" s="3">
        <v>43501</v>
      </c>
      <c r="F263">
        <f t="shared" si="8"/>
        <v>2</v>
      </c>
      <c r="G263">
        <f t="shared" si="9"/>
        <v>2019</v>
      </c>
    </row>
    <row r="264" spans="1:7" x14ac:dyDescent="0.25">
      <c r="A264" s="2" t="s">
        <v>888</v>
      </c>
      <c r="B264" s="2" t="s">
        <v>889</v>
      </c>
      <c r="C264" s="2" t="s">
        <v>890</v>
      </c>
      <c r="D264" s="2" t="s">
        <v>891</v>
      </c>
      <c r="E264" s="3">
        <v>43500</v>
      </c>
      <c r="F264">
        <f t="shared" si="8"/>
        <v>2</v>
      </c>
      <c r="G264">
        <f t="shared" si="9"/>
        <v>2019</v>
      </c>
    </row>
    <row r="265" spans="1:7" ht="24" x14ac:dyDescent="0.25">
      <c r="A265" s="2" t="s">
        <v>892</v>
      </c>
      <c r="B265" s="2" t="s">
        <v>893</v>
      </c>
      <c r="C265" s="2" t="s">
        <v>57</v>
      </c>
      <c r="D265" s="2" t="s">
        <v>894</v>
      </c>
      <c r="E265" s="3">
        <v>43500</v>
      </c>
      <c r="F265">
        <f t="shared" si="8"/>
        <v>2</v>
      </c>
      <c r="G265">
        <f t="shared" si="9"/>
        <v>2019</v>
      </c>
    </row>
    <row r="266" spans="1:7" x14ac:dyDescent="0.25">
      <c r="A266" s="2" t="s">
        <v>895</v>
      </c>
      <c r="B266" s="2" t="s">
        <v>896</v>
      </c>
      <c r="C266" s="2" t="s">
        <v>897</v>
      </c>
      <c r="D266" s="2" t="s">
        <v>898</v>
      </c>
      <c r="E266" s="3">
        <v>43500</v>
      </c>
      <c r="F266">
        <f t="shared" si="8"/>
        <v>2</v>
      </c>
      <c r="G266">
        <f t="shared" si="9"/>
        <v>2019</v>
      </c>
    </row>
    <row r="267" spans="1:7" ht="24" x14ac:dyDescent="0.25">
      <c r="A267" s="2" t="s">
        <v>899</v>
      </c>
      <c r="B267" s="2" t="s">
        <v>381</v>
      </c>
      <c r="C267" s="2" t="s">
        <v>900</v>
      </c>
      <c r="D267" s="2" t="s">
        <v>901</v>
      </c>
      <c r="E267" s="3">
        <v>43498</v>
      </c>
      <c r="F267">
        <f t="shared" si="8"/>
        <v>2</v>
      </c>
      <c r="G267">
        <f t="shared" si="9"/>
        <v>2019</v>
      </c>
    </row>
    <row r="268" spans="1:7" x14ac:dyDescent="0.25">
      <c r="A268" s="2" t="s">
        <v>67</v>
      </c>
      <c r="B268" s="2" t="s">
        <v>902</v>
      </c>
      <c r="C268" s="2" t="s">
        <v>903</v>
      </c>
      <c r="D268" s="2" t="s">
        <v>904</v>
      </c>
      <c r="E268" s="3">
        <v>43497</v>
      </c>
      <c r="F268">
        <f t="shared" si="8"/>
        <v>2</v>
      </c>
      <c r="G268">
        <f t="shared" si="9"/>
        <v>2019</v>
      </c>
    </row>
    <row r="269" spans="1:7" ht="24" x14ac:dyDescent="0.25">
      <c r="A269" s="2" t="s">
        <v>905</v>
      </c>
      <c r="B269" s="2" t="s">
        <v>906</v>
      </c>
      <c r="C269" s="2" t="s">
        <v>907</v>
      </c>
      <c r="D269" s="2" t="s">
        <v>908</v>
      </c>
      <c r="E269" s="3">
        <v>43497</v>
      </c>
      <c r="F269">
        <f t="shared" si="8"/>
        <v>2</v>
      </c>
      <c r="G269">
        <f t="shared" si="9"/>
        <v>2019</v>
      </c>
    </row>
    <row r="270" spans="1:7" x14ac:dyDescent="0.25">
      <c r="A270" s="2" t="s">
        <v>909</v>
      </c>
      <c r="B270" s="2" t="s">
        <v>910</v>
      </c>
      <c r="C270" s="2" t="s">
        <v>911</v>
      </c>
      <c r="D270" s="2" t="s">
        <v>912</v>
      </c>
      <c r="E270" s="3">
        <v>43496</v>
      </c>
      <c r="F270">
        <f t="shared" si="8"/>
        <v>1</v>
      </c>
      <c r="G270">
        <f t="shared" si="9"/>
        <v>2019</v>
      </c>
    </row>
    <row r="271" spans="1:7" x14ac:dyDescent="0.25">
      <c r="A271" s="2" t="s">
        <v>913</v>
      </c>
      <c r="B271" s="2" t="s">
        <v>914</v>
      </c>
      <c r="C271" s="2" t="s">
        <v>915</v>
      </c>
      <c r="D271" s="2" t="s">
        <v>168</v>
      </c>
      <c r="E271" s="3">
        <v>43495</v>
      </c>
      <c r="F271">
        <f t="shared" si="8"/>
        <v>1</v>
      </c>
      <c r="G271">
        <f t="shared" si="9"/>
        <v>2019</v>
      </c>
    </row>
    <row r="272" spans="1:7" x14ac:dyDescent="0.25">
      <c r="A272" s="2" t="s">
        <v>818</v>
      </c>
      <c r="B272" s="2" t="s">
        <v>916</v>
      </c>
      <c r="C272" s="2" t="s">
        <v>917</v>
      </c>
      <c r="D272" s="2" t="s">
        <v>918</v>
      </c>
      <c r="E272" s="3">
        <v>43494</v>
      </c>
      <c r="F272">
        <f t="shared" si="8"/>
        <v>1</v>
      </c>
      <c r="G272">
        <f t="shared" si="9"/>
        <v>2019</v>
      </c>
    </row>
    <row r="273" spans="1:7" x14ac:dyDescent="0.25">
      <c r="A273" s="2" t="s">
        <v>52</v>
      </c>
      <c r="B273" s="2" t="s">
        <v>919</v>
      </c>
      <c r="C273" s="2" t="s">
        <v>376</v>
      </c>
      <c r="D273" s="2" t="s">
        <v>365</v>
      </c>
      <c r="E273" s="3">
        <v>43494</v>
      </c>
      <c r="F273">
        <f t="shared" si="8"/>
        <v>1</v>
      </c>
      <c r="G273">
        <f t="shared" si="9"/>
        <v>2019</v>
      </c>
    </row>
    <row r="274" spans="1:7" x14ac:dyDescent="0.25">
      <c r="A274" s="2" t="s">
        <v>447</v>
      </c>
      <c r="B274" s="2" t="s">
        <v>68</v>
      </c>
      <c r="C274" s="2" t="s">
        <v>920</v>
      </c>
      <c r="D274" s="2" t="s">
        <v>921</v>
      </c>
      <c r="E274" s="3">
        <v>43492</v>
      </c>
      <c r="F274">
        <f t="shared" si="8"/>
        <v>1</v>
      </c>
      <c r="G274">
        <f t="shared" si="9"/>
        <v>2019</v>
      </c>
    </row>
    <row r="275" spans="1:7" x14ac:dyDescent="0.25">
      <c r="A275" s="2" t="s">
        <v>922</v>
      </c>
      <c r="B275" s="2" t="s">
        <v>709</v>
      </c>
      <c r="C275" s="2" t="s">
        <v>23</v>
      </c>
      <c r="D275" s="2" t="s">
        <v>923</v>
      </c>
      <c r="E275" s="3">
        <v>43490</v>
      </c>
      <c r="F275">
        <f t="shared" si="8"/>
        <v>1</v>
      </c>
      <c r="G275">
        <f t="shared" si="9"/>
        <v>2019</v>
      </c>
    </row>
    <row r="276" spans="1:7" x14ac:dyDescent="0.25">
      <c r="A276" s="2" t="s">
        <v>580</v>
      </c>
      <c r="B276" s="2" t="s">
        <v>924</v>
      </c>
      <c r="C276" s="2" t="s">
        <v>925</v>
      </c>
      <c r="D276" s="2" t="s">
        <v>926</v>
      </c>
      <c r="E276" s="3">
        <v>43489</v>
      </c>
      <c r="F276">
        <f t="shared" si="8"/>
        <v>1</v>
      </c>
      <c r="G276">
        <f t="shared" si="9"/>
        <v>2019</v>
      </c>
    </row>
    <row r="277" spans="1:7" x14ac:dyDescent="0.25">
      <c r="A277" s="2" t="s">
        <v>927</v>
      </c>
      <c r="B277" s="2" t="s">
        <v>928</v>
      </c>
      <c r="C277" s="2" t="s">
        <v>929</v>
      </c>
      <c r="D277" s="2" t="s">
        <v>930</v>
      </c>
      <c r="E277" s="3">
        <v>43487</v>
      </c>
      <c r="F277">
        <f t="shared" si="8"/>
        <v>1</v>
      </c>
      <c r="G277">
        <f t="shared" si="9"/>
        <v>2019</v>
      </c>
    </row>
    <row r="278" spans="1:7" x14ac:dyDescent="0.25">
      <c r="A278" s="2" t="s">
        <v>277</v>
      </c>
      <c r="B278" s="2" t="s">
        <v>931</v>
      </c>
      <c r="C278" s="2" t="s">
        <v>932</v>
      </c>
      <c r="D278" s="2" t="s">
        <v>933</v>
      </c>
      <c r="E278" s="3">
        <v>43487</v>
      </c>
      <c r="F278">
        <f t="shared" si="8"/>
        <v>1</v>
      </c>
      <c r="G278">
        <f t="shared" si="9"/>
        <v>2019</v>
      </c>
    </row>
    <row r="279" spans="1:7" x14ac:dyDescent="0.25">
      <c r="A279" s="2" t="s">
        <v>934</v>
      </c>
      <c r="B279" s="2" t="s">
        <v>935</v>
      </c>
      <c r="C279" s="2" t="s">
        <v>936</v>
      </c>
      <c r="D279" s="2" t="s">
        <v>256</v>
      </c>
      <c r="E279" s="3">
        <v>43486</v>
      </c>
      <c r="F279">
        <f t="shared" si="8"/>
        <v>1</v>
      </c>
      <c r="G279">
        <f t="shared" si="9"/>
        <v>2019</v>
      </c>
    </row>
    <row r="280" spans="1:7" x14ac:dyDescent="0.25">
      <c r="A280" s="2" t="s">
        <v>937</v>
      </c>
      <c r="B280" s="2" t="s">
        <v>938</v>
      </c>
      <c r="C280" s="2" t="s">
        <v>939</v>
      </c>
      <c r="D280" s="2" t="s">
        <v>940</v>
      </c>
      <c r="E280" s="3">
        <v>43486</v>
      </c>
      <c r="F280">
        <f t="shared" si="8"/>
        <v>1</v>
      </c>
      <c r="G280">
        <f t="shared" si="9"/>
        <v>2019</v>
      </c>
    </row>
    <row r="281" spans="1:7" x14ac:dyDescent="0.25">
      <c r="A281" s="2" t="s">
        <v>941</v>
      </c>
      <c r="B281" s="2" t="s">
        <v>942</v>
      </c>
      <c r="C281" s="2" t="s">
        <v>846</v>
      </c>
      <c r="D281" s="2" t="s">
        <v>943</v>
      </c>
      <c r="E281" s="3">
        <v>43485</v>
      </c>
      <c r="F281">
        <f t="shared" si="8"/>
        <v>1</v>
      </c>
      <c r="G281">
        <f t="shared" si="9"/>
        <v>2019</v>
      </c>
    </row>
    <row r="282" spans="1:7" ht="24" x14ac:dyDescent="0.25">
      <c r="A282" s="2" t="s">
        <v>795</v>
      </c>
      <c r="B282" s="2" t="s">
        <v>944</v>
      </c>
      <c r="C282" s="2" t="s">
        <v>945</v>
      </c>
      <c r="D282" s="2" t="s">
        <v>24</v>
      </c>
      <c r="E282" s="3">
        <v>43485</v>
      </c>
      <c r="F282">
        <f t="shared" si="8"/>
        <v>1</v>
      </c>
      <c r="G282">
        <f t="shared" si="9"/>
        <v>2019</v>
      </c>
    </row>
    <row r="283" spans="1:7" x14ac:dyDescent="0.25">
      <c r="A283" s="2" t="s">
        <v>946</v>
      </c>
      <c r="B283" s="2" t="s">
        <v>947</v>
      </c>
      <c r="C283" s="2" t="s">
        <v>948</v>
      </c>
      <c r="D283" s="2" t="s">
        <v>193</v>
      </c>
      <c r="E283" s="3">
        <v>43485</v>
      </c>
      <c r="F283">
        <f t="shared" si="8"/>
        <v>1</v>
      </c>
      <c r="G283">
        <f t="shared" si="9"/>
        <v>2019</v>
      </c>
    </row>
    <row r="284" spans="1:7" x14ac:dyDescent="0.25">
      <c r="A284" s="2" t="s">
        <v>866</v>
      </c>
      <c r="B284" s="2" t="s">
        <v>949</v>
      </c>
      <c r="C284" s="2" t="s">
        <v>440</v>
      </c>
      <c r="D284" s="2" t="s">
        <v>950</v>
      </c>
      <c r="E284" s="3">
        <v>43485</v>
      </c>
      <c r="F284">
        <f t="shared" si="8"/>
        <v>1</v>
      </c>
      <c r="G284">
        <f t="shared" si="9"/>
        <v>2019</v>
      </c>
    </row>
    <row r="285" spans="1:7" x14ac:dyDescent="0.25">
      <c r="A285" s="2" t="s">
        <v>951</v>
      </c>
      <c r="B285" s="2" t="s">
        <v>952</v>
      </c>
      <c r="C285" s="2" t="s">
        <v>87</v>
      </c>
      <c r="D285" s="2" t="s">
        <v>953</v>
      </c>
      <c r="E285" s="3">
        <v>43485</v>
      </c>
      <c r="F285">
        <f t="shared" si="8"/>
        <v>1</v>
      </c>
      <c r="G285">
        <f t="shared" si="9"/>
        <v>2019</v>
      </c>
    </row>
    <row r="286" spans="1:7" x14ac:dyDescent="0.25">
      <c r="A286" s="2" t="s">
        <v>954</v>
      </c>
      <c r="B286" s="2" t="s">
        <v>955</v>
      </c>
      <c r="C286" s="2" t="s">
        <v>956</v>
      </c>
      <c r="D286" s="2" t="s">
        <v>957</v>
      </c>
      <c r="E286" s="3">
        <v>43485</v>
      </c>
      <c r="F286">
        <f t="shared" si="8"/>
        <v>1</v>
      </c>
      <c r="G286">
        <f t="shared" si="9"/>
        <v>2019</v>
      </c>
    </row>
    <row r="287" spans="1:7" x14ac:dyDescent="0.25">
      <c r="A287" s="2" t="s">
        <v>958</v>
      </c>
      <c r="B287" s="2" t="s">
        <v>959</v>
      </c>
      <c r="C287" s="2" t="s">
        <v>479</v>
      </c>
      <c r="D287" s="2" t="s">
        <v>960</v>
      </c>
      <c r="E287" s="3">
        <v>43485</v>
      </c>
      <c r="F287">
        <f t="shared" si="8"/>
        <v>1</v>
      </c>
      <c r="G287">
        <f t="shared" si="9"/>
        <v>2019</v>
      </c>
    </row>
    <row r="288" spans="1:7" ht="24" x14ac:dyDescent="0.25">
      <c r="A288" s="2" t="s">
        <v>961</v>
      </c>
      <c r="B288" s="2" t="s">
        <v>810</v>
      </c>
      <c r="C288" s="2" t="s">
        <v>962</v>
      </c>
      <c r="D288" s="2" t="s">
        <v>963</v>
      </c>
      <c r="E288" s="3">
        <v>43485</v>
      </c>
      <c r="F288">
        <f t="shared" si="8"/>
        <v>1</v>
      </c>
      <c r="G288">
        <f t="shared" si="9"/>
        <v>2019</v>
      </c>
    </row>
    <row r="289" spans="1:7" x14ac:dyDescent="0.25">
      <c r="A289" s="2" t="s">
        <v>326</v>
      </c>
      <c r="B289" s="2" t="s">
        <v>964</v>
      </c>
      <c r="C289" s="2" t="s">
        <v>965</v>
      </c>
      <c r="D289" s="2" t="s">
        <v>193</v>
      </c>
      <c r="E289" s="3">
        <v>43485</v>
      </c>
      <c r="F289">
        <f t="shared" si="8"/>
        <v>1</v>
      </c>
      <c r="G289">
        <f t="shared" si="9"/>
        <v>2019</v>
      </c>
    </row>
    <row r="290" spans="1:7" x14ac:dyDescent="0.25">
      <c r="A290" s="2" t="s">
        <v>966</v>
      </c>
      <c r="B290" s="2" t="s">
        <v>967</v>
      </c>
      <c r="C290" s="2" t="s">
        <v>440</v>
      </c>
      <c r="D290" s="2" t="s">
        <v>968</v>
      </c>
      <c r="E290" s="3">
        <v>43485</v>
      </c>
      <c r="F290">
        <f t="shared" si="8"/>
        <v>1</v>
      </c>
      <c r="G290">
        <f t="shared" si="9"/>
        <v>2019</v>
      </c>
    </row>
    <row r="291" spans="1:7" x14ac:dyDescent="0.25">
      <c r="A291" s="2" t="s">
        <v>969</v>
      </c>
      <c r="B291" s="2" t="s">
        <v>970</v>
      </c>
      <c r="C291" s="2" t="s">
        <v>140</v>
      </c>
      <c r="D291" s="2" t="s">
        <v>311</v>
      </c>
      <c r="E291" s="3">
        <v>43484</v>
      </c>
      <c r="F291">
        <f t="shared" si="8"/>
        <v>1</v>
      </c>
      <c r="G291">
        <f t="shared" si="9"/>
        <v>2019</v>
      </c>
    </row>
    <row r="292" spans="1:7" x14ac:dyDescent="0.25">
      <c r="A292" s="2" t="s">
        <v>971</v>
      </c>
      <c r="B292" s="2" t="s">
        <v>203</v>
      </c>
      <c r="C292" s="2" t="s">
        <v>864</v>
      </c>
      <c r="D292" s="2" t="s">
        <v>972</v>
      </c>
      <c r="E292" s="3">
        <v>43483</v>
      </c>
      <c r="F292">
        <f t="shared" si="8"/>
        <v>1</v>
      </c>
      <c r="G292">
        <f t="shared" si="9"/>
        <v>2019</v>
      </c>
    </row>
    <row r="293" spans="1:7" x14ac:dyDescent="0.25">
      <c r="A293" s="2" t="s">
        <v>973</v>
      </c>
      <c r="B293" s="2" t="s">
        <v>974</v>
      </c>
      <c r="C293" s="2" t="s">
        <v>975</v>
      </c>
      <c r="D293" s="2" t="s">
        <v>976</v>
      </c>
      <c r="E293" s="3">
        <v>43483</v>
      </c>
      <c r="F293">
        <f t="shared" si="8"/>
        <v>1</v>
      </c>
      <c r="G293">
        <f t="shared" si="9"/>
        <v>2019</v>
      </c>
    </row>
    <row r="294" spans="1:7" x14ac:dyDescent="0.25">
      <c r="A294" s="2" t="s">
        <v>977</v>
      </c>
      <c r="B294" s="2" t="s">
        <v>978</v>
      </c>
      <c r="C294" s="2" t="s">
        <v>979</v>
      </c>
      <c r="D294" s="2" t="s">
        <v>365</v>
      </c>
      <c r="E294" s="3">
        <v>43483</v>
      </c>
      <c r="F294">
        <f t="shared" si="8"/>
        <v>1</v>
      </c>
      <c r="G294">
        <f t="shared" si="9"/>
        <v>2019</v>
      </c>
    </row>
    <row r="295" spans="1:7" ht="24" x14ac:dyDescent="0.25">
      <c r="A295" s="2" t="s">
        <v>980</v>
      </c>
      <c r="B295" s="2" t="s">
        <v>981</v>
      </c>
      <c r="C295" s="2" t="s">
        <v>982</v>
      </c>
      <c r="D295" s="2" t="s">
        <v>983</v>
      </c>
      <c r="E295" s="3">
        <v>43483</v>
      </c>
      <c r="F295">
        <f t="shared" si="8"/>
        <v>1</v>
      </c>
      <c r="G295">
        <f t="shared" si="9"/>
        <v>2019</v>
      </c>
    </row>
    <row r="296" spans="1:7" x14ac:dyDescent="0.25">
      <c r="A296" s="2" t="s">
        <v>984</v>
      </c>
      <c r="B296" s="2" t="s">
        <v>985</v>
      </c>
      <c r="C296" s="2" t="s">
        <v>986</v>
      </c>
      <c r="D296" s="2" t="s">
        <v>987</v>
      </c>
      <c r="E296" s="3">
        <v>43482</v>
      </c>
      <c r="F296">
        <f t="shared" si="8"/>
        <v>1</v>
      </c>
      <c r="G296">
        <f t="shared" si="9"/>
        <v>2019</v>
      </c>
    </row>
    <row r="297" spans="1:7" x14ac:dyDescent="0.25">
      <c r="A297" s="2" t="s">
        <v>988</v>
      </c>
      <c r="B297" s="2" t="s">
        <v>989</v>
      </c>
      <c r="C297" s="2" t="s">
        <v>990</v>
      </c>
      <c r="D297" s="2" t="s">
        <v>74</v>
      </c>
      <c r="E297" s="3">
        <v>43482</v>
      </c>
      <c r="F297">
        <f t="shared" si="8"/>
        <v>1</v>
      </c>
      <c r="G297">
        <f t="shared" si="9"/>
        <v>2019</v>
      </c>
    </row>
    <row r="298" spans="1:7" ht="24" x14ac:dyDescent="0.25">
      <c r="A298" s="2" t="s">
        <v>68</v>
      </c>
      <c r="B298" s="2" t="s">
        <v>991</v>
      </c>
      <c r="C298" s="2" t="s">
        <v>992</v>
      </c>
      <c r="D298" s="2" t="s">
        <v>993</v>
      </c>
      <c r="E298" s="3">
        <v>43482</v>
      </c>
      <c r="F298">
        <f t="shared" si="8"/>
        <v>1</v>
      </c>
      <c r="G298">
        <f t="shared" si="9"/>
        <v>2019</v>
      </c>
    </row>
    <row r="299" spans="1:7" x14ac:dyDescent="0.25">
      <c r="A299" s="2" t="s">
        <v>994</v>
      </c>
      <c r="B299" s="2" t="s">
        <v>33</v>
      </c>
      <c r="C299" s="2" t="s">
        <v>995</v>
      </c>
      <c r="D299" s="2" t="s">
        <v>572</v>
      </c>
      <c r="E299" s="3">
        <v>43482</v>
      </c>
      <c r="F299">
        <f t="shared" si="8"/>
        <v>1</v>
      </c>
      <c r="G299">
        <f t="shared" si="9"/>
        <v>2019</v>
      </c>
    </row>
    <row r="300" spans="1:7" x14ac:dyDescent="0.25">
      <c r="A300" s="2" t="s">
        <v>996</v>
      </c>
      <c r="B300" s="2" t="s">
        <v>997</v>
      </c>
      <c r="C300" s="2" t="s">
        <v>998</v>
      </c>
      <c r="D300" s="2" t="s">
        <v>999</v>
      </c>
      <c r="E300" s="3">
        <v>43482</v>
      </c>
      <c r="F300">
        <f t="shared" si="8"/>
        <v>1</v>
      </c>
      <c r="G300">
        <f t="shared" si="9"/>
        <v>2019</v>
      </c>
    </row>
    <row r="301" spans="1:7" x14ac:dyDescent="0.25">
      <c r="A301" s="2" t="s">
        <v>788</v>
      </c>
      <c r="B301" s="2" t="s">
        <v>1000</v>
      </c>
      <c r="C301" s="2" t="s">
        <v>1001</v>
      </c>
      <c r="D301" s="2" t="s">
        <v>168</v>
      </c>
      <c r="E301" s="3">
        <v>43482</v>
      </c>
      <c r="F301">
        <f t="shared" si="8"/>
        <v>1</v>
      </c>
      <c r="G301">
        <f t="shared" si="9"/>
        <v>2019</v>
      </c>
    </row>
    <row r="302" spans="1:7" x14ac:dyDescent="0.25">
      <c r="A302" s="2" t="s">
        <v>1002</v>
      </c>
      <c r="B302" s="2" t="s">
        <v>1003</v>
      </c>
      <c r="C302" s="2" t="s">
        <v>1004</v>
      </c>
      <c r="D302" s="2" t="s">
        <v>1005</v>
      </c>
      <c r="E302" s="3">
        <v>43481</v>
      </c>
      <c r="F302">
        <f t="shared" si="8"/>
        <v>1</v>
      </c>
      <c r="G302">
        <f t="shared" si="9"/>
        <v>2019</v>
      </c>
    </row>
    <row r="303" spans="1:7" x14ac:dyDescent="0.25">
      <c r="A303" s="2" t="s">
        <v>1006</v>
      </c>
      <c r="B303" s="2" t="s">
        <v>1007</v>
      </c>
      <c r="C303" s="2" t="s">
        <v>1008</v>
      </c>
      <c r="D303" s="2" t="s">
        <v>1009</v>
      </c>
      <c r="E303" s="3">
        <v>43481</v>
      </c>
      <c r="F303">
        <f t="shared" si="8"/>
        <v>1</v>
      </c>
      <c r="G303">
        <f t="shared" si="9"/>
        <v>2019</v>
      </c>
    </row>
    <row r="304" spans="1:7" x14ac:dyDescent="0.25">
      <c r="A304" s="2" t="s">
        <v>1010</v>
      </c>
      <c r="B304" s="2" t="s">
        <v>1011</v>
      </c>
      <c r="C304" s="2" t="s">
        <v>1012</v>
      </c>
      <c r="D304" s="2" t="s">
        <v>297</v>
      </c>
      <c r="E304" s="3">
        <v>43481</v>
      </c>
      <c r="F304">
        <f t="shared" si="8"/>
        <v>1</v>
      </c>
      <c r="G304">
        <f t="shared" si="9"/>
        <v>2019</v>
      </c>
    </row>
    <row r="305" spans="1:7" x14ac:dyDescent="0.25">
      <c r="A305" s="2" t="s">
        <v>1013</v>
      </c>
      <c r="B305" s="2" t="s">
        <v>1014</v>
      </c>
      <c r="C305" s="2" t="s">
        <v>1015</v>
      </c>
      <c r="D305" s="2" t="s">
        <v>168</v>
      </c>
      <c r="E305" s="3">
        <v>43480</v>
      </c>
      <c r="F305">
        <f t="shared" si="8"/>
        <v>1</v>
      </c>
      <c r="G305">
        <f t="shared" si="9"/>
        <v>2019</v>
      </c>
    </row>
    <row r="306" spans="1:7" x14ac:dyDescent="0.25">
      <c r="A306" s="2" t="s">
        <v>1016</v>
      </c>
      <c r="B306" s="2" t="s">
        <v>1017</v>
      </c>
      <c r="C306" s="2" t="s">
        <v>1018</v>
      </c>
      <c r="D306" s="2" t="s">
        <v>1019</v>
      </c>
      <c r="E306" s="3">
        <v>43479</v>
      </c>
      <c r="F306">
        <f t="shared" si="8"/>
        <v>1</v>
      </c>
      <c r="G306">
        <f t="shared" si="9"/>
        <v>2019</v>
      </c>
    </row>
    <row r="307" spans="1:7" x14ac:dyDescent="0.25">
      <c r="A307" s="2" t="s">
        <v>1020</v>
      </c>
      <c r="B307" s="2" t="s">
        <v>1021</v>
      </c>
      <c r="C307" s="2" t="s">
        <v>1022</v>
      </c>
      <c r="D307" s="2" t="s">
        <v>1023</v>
      </c>
      <c r="E307" s="3">
        <v>43479</v>
      </c>
      <c r="F307">
        <f t="shared" si="8"/>
        <v>1</v>
      </c>
      <c r="G307">
        <f t="shared" si="9"/>
        <v>2019</v>
      </c>
    </row>
    <row r="308" spans="1:7" x14ac:dyDescent="0.25">
      <c r="A308" s="2" t="s">
        <v>1024</v>
      </c>
      <c r="B308" s="2" t="s">
        <v>155</v>
      </c>
      <c r="C308" s="2" t="s">
        <v>1025</v>
      </c>
      <c r="D308" s="2" t="s">
        <v>1026</v>
      </c>
      <c r="E308" s="3">
        <v>43479</v>
      </c>
      <c r="F308">
        <f t="shared" si="8"/>
        <v>1</v>
      </c>
      <c r="G308">
        <f t="shared" si="9"/>
        <v>2019</v>
      </c>
    </row>
    <row r="309" spans="1:7" ht="24" x14ac:dyDescent="0.25">
      <c r="A309" s="2" t="s">
        <v>1027</v>
      </c>
      <c r="B309" s="2" t="s">
        <v>1028</v>
      </c>
      <c r="C309" s="2" t="s">
        <v>1029</v>
      </c>
      <c r="D309" s="2" t="s">
        <v>1030</v>
      </c>
      <c r="E309" s="3">
        <v>43479</v>
      </c>
      <c r="F309">
        <f t="shared" si="8"/>
        <v>1</v>
      </c>
      <c r="G309">
        <f t="shared" si="9"/>
        <v>2019</v>
      </c>
    </row>
    <row r="310" spans="1:7" ht="24" x14ac:dyDescent="0.25">
      <c r="A310" s="2" t="s">
        <v>1031</v>
      </c>
      <c r="B310" s="2" t="s">
        <v>1032</v>
      </c>
      <c r="C310" s="2" t="s">
        <v>620</v>
      </c>
      <c r="D310" s="2" t="s">
        <v>1033</v>
      </c>
      <c r="E310" s="3">
        <v>43477</v>
      </c>
      <c r="F310">
        <f t="shared" si="8"/>
        <v>1</v>
      </c>
      <c r="G310">
        <f t="shared" si="9"/>
        <v>2019</v>
      </c>
    </row>
    <row r="311" spans="1:7" x14ac:dyDescent="0.25">
      <c r="A311" s="2" t="s">
        <v>1034</v>
      </c>
      <c r="B311" s="2" t="s">
        <v>1035</v>
      </c>
      <c r="C311" s="2" t="s">
        <v>1036</v>
      </c>
      <c r="D311" s="2" t="s">
        <v>168</v>
      </c>
      <c r="E311" s="3">
        <v>43477</v>
      </c>
      <c r="F311">
        <f t="shared" si="8"/>
        <v>1</v>
      </c>
      <c r="G311">
        <f t="shared" si="9"/>
        <v>2019</v>
      </c>
    </row>
    <row r="312" spans="1:7" x14ac:dyDescent="0.25">
      <c r="A312" s="2" t="s">
        <v>1037</v>
      </c>
      <c r="B312" s="2" t="s">
        <v>1038</v>
      </c>
      <c r="C312" s="2" t="s">
        <v>11</v>
      </c>
      <c r="D312" s="2" t="s">
        <v>1039</v>
      </c>
      <c r="E312" s="3">
        <v>43476</v>
      </c>
      <c r="F312">
        <f t="shared" si="8"/>
        <v>1</v>
      </c>
      <c r="G312">
        <f t="shared" si="9"/>
        <v>2019</v>
      </c>
    </row>
    <row r="313" spans="1:7" ht="24" x14ac:dyDescent="0.25">
      <c r="A313" s="2" t="s">
        <v>1040</v>
      </c>
      <c r="B313" s="2" t="s">
        <v>1041</v>
      </c>
      <c r="C313" s="2" t="s">
        <v>1042</v>
      </c>
      <c r="D313" s="2" t="s">
        <v>1043</v>
      </c>
      <c r="E313" s="3">
        <v>43473</v>
      </c>
      <c r="F313">
        <f t="shared" si="8"/>
        <v>1</v>
      </c>
      <c r="G313">
        <f t="shared" si="9"/>
        <v>2019</v>
      </c>
    </row>
    <row r="314" spans="1:7" x14ac:dyDescent="0.25">
      <c r="A314" s="2" t="s">
        <v>1044</v>
      </c>
      <c r="B314" s="2" t="s">
        <v>1045</v>
      </c>
      <c r="C314" s="2" t="s">
        <v>1046</v>
      </c>
      <c r="D314" s="2" t="s">
        <v>1047</v>
      </c>
      <c r="E314" s="3">
        <v>43473</v>
      </c>
      <c r="F314">
        <f t="shared" si="8"/>
        <v>1</v>
      </c>
      <c r="G314">
        <f t="shared" si="9"/>
        <v>2019</v>
      </c>
    </row>
    <row r="315" spans="1:7" ht="24" x14ac:dyDescent="0.25">
      <c r="A315" s="2" t="s">
        <v>1048</v>
      </c>
      <c r="B315" s="2" t="s">
        <v>1049</v>
      </c>
      <c r="C315" s="2" t="s">
        <v>27</v>
      </c>
      <c r="D315" s="2" t="s">
        <v>1050</v>
      </c>
      <c r="E315" s="3">
        <v>43472</v>
      </c>
      <c r="F315">
        <f t="shared" si="8"/>
        <v>1</v>
      </c>
      <c r="G315">
        <f t="shared" si="9"/>
        <v>2019</v>
      </c>
    </row>
    <row r="316" spans="1:7" x14ac:dyDescent="0.25">
      <c r="A316" s="2" t="s">
        <v>1051</v>
      </c>
      <c r="B316" s="2" t="s">
        <v>1052</v>
      </c>
      <c r="C316" s="2" t="s">
        <v>1053</v>
      </c>
      <c r="D316" s="2" t="s">
        <v>1054</v>
      </c>
      <c r="E316" s="3">
        <v>43472</v>
      </c>
      <c r="F316">
        <f t="shared" si="8"/>
        <v>1</v>
      </c>
      <c r="G316">
        <f t="shared" si="9"/>
        <v>2019</v>
      </c>
    </row>
    <row r="317" spans="1:7" x14ac:dyDescent="0.25">
      <c r="A317" s="2" t="s">
        <v>1055</v>
      </c>
      <c r="B317" s="2" t="s">
        <v>1056</v>
      </c>
      <c r="C317" s="2" t="s">
        <v>1057</v>
      </c>
      <c r="D317" s="2" t="s">
        <v>1058</v>
      </c>
      <c r="E317" s="3">
        <v>43471</v>
      </c>
      <c r="F317">
        <f t="shared" si="8"/>
        <v>1</v>
      </c>
      <c r="G317">
        <f t="shared" si="9"/>
        <v>2019</v>
      </c>
    </row>
    <row r="318" spans="1:7" ht="24" x14ac:dyDescent="0.25">
      <c r="A318" s="2" t="s">
        <v>393</v>
      </c>
      <c r="B318" s="2" t="s">
        <v>1059</v>
      </c>
      <c r="C318" s="2" t="s">
        <v>1060</v>
      </c>
      <c r="D318" s="2" t="s">
        <v>1061</v>
      </c>
      <c r="E318" s="3">
        <v>43471</v>
      </c>
      <c r="F318">
        <f t="shared" si="8"/>
        <v>1</v>
      </c>
      <c r="G318">
        <f t="shared" si="9"/>
        <v>2019</v>
      </c>
    </row>
    <row r="319" spans="1:7" ht="24" x14ac:dyDescent="0.25">
      <c r="A319" s="2" t="s">
        <v>1062</v>
      </c>
      <c r="B319" s="2" t="s">
        <v>1063</v>
      </c>
      <c r="C319" s="2" t="s">
        <v>1064</v>
      </c>
      <c r="D319" s="2" t="s">
        <v>1065</v>
      </c>
      <c r="E319" s="3">
        <v>43470</v>
      </c>
      <c r="F319">
        <f t="shared" si="8"/>
        <v>1</v>
      </c>
      <c r="G319">
        <f t="shared" si="9"/>
        <v>2019</v>
      </c>
    </row>
    <row r="320" spans="1:7" x14ac:dyDescent="0.25">
      <c r="A320" s="2" t="s">
        <v>1066</v>
      </c>
      <c r="B320" s="2" t="s">
        <v>22</v>
      </c>
      <c r="C320" s="2" t="s">
        <v>1067</v>
      </c>
      <c r="D320" s="2" t="s">
        <v>1068</v>
      </c>
      <c r="E320" s="3">
        <v>43470</v>
      </c>
      <c r="F320">
        <f t="shared" si="8"/>
        <v>1</v>
      </c>
      <c r="G320">
        <f t="shared" si="9"/>
        <v>2019</v>
      </c>
    </row>
    <row r="321" spans="1:7" x14ac:dyDescent="0.25">
      <c r="A321" s="2" t="s">
        <v>1069</v>
      </c>
      <c r="B321" s="2" t="s">
        <v>1070</v>
      </c>
      <c r="C321" s="2" t="s">
        <v>998</v>
      </c>
      <c r="D321" s="2" t="s">
        <v>221</v>
      </c>
      <c r="E321" s="3">
        <v>43470</v>
      </c>
      <c r="F321">
        <f t="shared" si="8"/>
        <v>1</v>
      </c>
      <c r="G321">
        <f t="shared" si="9"/>
        <v>2019</v>
      </c>
    </row>
    <row r="322" spans="1:7" x14ac:dyDescent="0.25">
      <c r="A322" s="2" t="s">
        <v>1071</v>
      </c>
      <c r="B322" s="2" t="s">
        <v>1072</v>
      </c>
      <c r="C322" s="2" t="s">
        <v>117</v>
      </c>
      <c r="D322" s="2" t="s">
        <v>1073</v>
      </c>
      <c r="E322" s="3">
        <v>43470</v>
      </c>
      <c r="F322">
        <f t="shared" si="8"/>
        <v>1</v>
      </c>
      <c r="G322">
        <f t="shared" si="9"/>
        <v>2019</v>
      </c>
    </row>
    <row r="323" spans="1:7" x14ac:dyDescent="0.25">
      <c r="A323" s="2" t="s">
        <v>1074</v>
      </c>
      <c r="B323" s="2" t="s">
        <v>1075</v>
      </c>
      <c r="C323" s="2" t="s">
        <v>1076</v>
      </c>
      <c r="D323" s="2" t="s">
        <v>1077</v>
      </c>
      <c r="E323" s="3">
        <v>43470</v>
      </c>
      <c r="F323">
        <f t="shared" ref="F323:F386" si="10">MONTH(E323)</f>
        <v>1</v>
      </c>
      <c r="G323">
        <f t="shared" ref="G323:G386" si="11">YEAR(E323)</f>
        <v>2019</v>
      </c>
    </row>
    <row r="324" spans="1:7" ht="24" x14ac:dyDescent="0.25">
      <c r="A324" s="2" t="s">
        <v>1078</v>
      </c>
      <c r="B324" s="2" t="s">
        <v>1079</v>
      </c>
      <c r="C324" s="2" t="s">
        <v>174</v>
      </c>
      <c r="D324" s="2" t="s">
        <v>1080</v>
      </c>
      <c r="E324" s="3">
        <v>43469</v>
      </c>
      <c r="F324">
        <f t="shared" si="10"/>
        <v>1</v>
      </c>
      <c r="G324">
        <f t="shared" si="11"/>
        <v>2019</v>
      </c>
    </row>
    <row r="325" spans="1:7" ht="24" x14ac:dyDescent="0.25">
      <c r="A325" s="2" t="s">
        <v>488</v>
      </c>
      <c r="B325" s="2" t="s">
        <v>1081</v>
      </c>
      <c r="C325" s="2" t="s">
        <v>1082</v>
      </c>
      <c r="D325" s="2" t="s">
        <v>1083</v>
      </c>
      <c r="E325" s="3">
        <v>43469</v>
      </c>
      <c r="F325">
        <f t="shared" si="10"/>
        <v>1</v>
      </c>
      <c r="G325">
        <f t="shared" si="11"/>
        <v>2019</v>
      </c>
    </row>
    <row r="326" spans="1:7" x14ac:dyDescent="0.25">
      <c r="A326" s="2" t="s">
        <v>1031</v>
      </c>
      <c r="B326" s="2" t="s">
        <v>381</v>
      </c>
      <c r="C326" s="2" t="s">
        <v>1084</v>
      </c>
      <c r="D326" s="2" t="s">
        <v>1085</v>
      </c>
      <c r="E326" s="3">
        <v>43469</v>
      </c>
      <c r="F326">
        <f t="shared" si="10"/>
        <v>1</v>
      </c>
      <c r="G326">
        <f t="shared" si="11"/>
        <v>2019</v>
      </c>
    </row>
    <row r="327" spans="1:7" x14ac:dyDescent="0.25">
      <c r="A327" s="2" t="s">
        <v>1086</v>
      </c>
      <c r="B327" s="2" t="s">
        <v>1087</v>
      </c>
      <c r="C327" s="2" t="s">
        <v>560</v>
      </c>
      <c r="D327" s="2" t="s">
        <v>1088</v>
      </c>
      <c r="E327" s="3">
        <v>43469</v>
      </c>
      <c r="F327">
        <f t="shared" si="10"/>
        <v>1</v>
      </c>
      <c r="G327">
        <f t="shared" si="11"/>
        <v>2019</v>
      </c>
    </row>
    <row r="328" spans="1:7" x14ac:dyDescent="0.25">
      <c r="A328" s="2" t="s">
        <v>1089</v>
      </c>
      <c r="B328" s="2" t="s">
        <v>1090</v>
      </c>
      <c r="C328" s="2" t="s">
        <v>1036</v>
      </c>
      <c r="D328" s="2" t="s">
        <v>221</v>
      </c>
      <c r="E328" s="3">
        <v>43469</v>
      </c>
      <c r="F328">
        <f t="shared" si="10"/>
        <v>1</v>
      </c>
      <c r="G328">
        <f t="shared" si="11"/>
        <v>2019</v>
      </c>
    </row>
    <row r="329" spans="1:7" ht="24" x14ac:dyDescent="0.25">
      <c r="A329" s="2" t="s">
        <v>1091</v>
      </c>
      <c r="B329" s="2" t="s">
        <v>1092</v>
      </c>
      <c r="C329" s="2" t="s">
        <v>1093</v>
      </c>
      <c r="D329" s="2" t="s">
        <v>1094</v>
      </c>
      <c r="E329" s="3">
        <v>43468</v>
      </c>
      <c r="F329">
        <f t="shared" si="10"/>
        <v>1</v>
      </c>
      <c r="G329">
        <f t="shared" si="11"/>
        <v>2019</v>
      </c>
    </row>
    <row r="330" spans="1:7" ht="24" x14ac:dyDescent="0.25">
      <c r="A330" s="2" t="s">
        <v>1095</v>
      </c>
      <c r="B330" s="2" t="s">
        <v>777</v>
      </c>
      <c r="C330" s="2" t="s">
        <v>1096</v>
      </c>
      <c r="D330" s="2" t="s">
        <v>1097</v>
      </c>
      <c r="E330" s="3">
        <v>43468</v>
      </c>
      <c r="F330">
        <f t="shared" si="10"/>
        <v>1</v>
      </c>
      <c r="G330">
        <f t="shared" si="11"/>
        <v>2019</v>
      </c>
    </row>
    <row r="331" spans="1:7" x14ac:dyDescent="0.25">
      <c r="A331" s="2" t="s">
        <v>1098</v>
      </c>
      <c r="B331" s="2" t="s">
        <v>381</v>
      </c>
      <c r="C331" s="2" t="s">
        <v>1099</v>
      </c>
      <c r="D331" s="2" t="s">
        <v>1100</v>
      </c>
      <c r="E331" s="3">
        <v>43468</v>
      </c>
      <c r="F331">
        <f t="shared" si="10"/>
        <v>1</v>
      </c>
      <c r="G331">
        <f t="shared" si="11"/>
        <v>2019</v>
      </c>
    </row>
    <row r="332" spans="1:7" x14ac:dyDescent="0.25">
      <c r="A332" s="2" t="s">
        <v>671</v>
      </c>
      <c r="B332" s="2" t="s">
        <v>1101</v>
      </c>
      <c r="C332" s="2" t="s">
        <v>1102</v>
      </c>
      <c r="D332" s="2" t="s">
        <v>1103</v>
      </c>
      <c r="E332" s="3">
        <v>43468</v>
      </c>
      <c r="F332">
        <f t="shared" si="10"/>
        <v>1</v>
      </c>
      <c r="G332">
        <f t="shared" si="11"/>
        <v>2019</v>
      </c>
    </row>
    <row r="333" spans="1:7" x14ac:dyDescent="0.25">
      <c r="A333" s="2" t="s">
        <v>1104</v>
      </c>
      <c r="B333" s="2" t="s">
        <v>1105</v>
      </c>
      <c r="C333" s="2" t="s">
        <v>1106</v>
      </c>
      <c r="D333" s="2" t="s">
        <v>74</v>
      </c>
      <c r="E333" s="3">
        <v>43468</v>
      </c>
      <c r="F333">
        <f t="shared" si="10"/>
        <v>1</v>
      </c>
      <c r="G333">
        <f t="shared" si="11"/>
        <v>2019</v>
      </c>
    </row>
    <row r="334" spans="1:7" x14ac:dyDescent="0.25">
      <c r="A334" s="2" t="s">
        <v>176</v>
      </c>
      <c r="B334" s="2" t="s">
        <v>1107</v>
      </c>
      <c r="C334" s="2" t="s">
        <v>1108</v>
      </c>
      <c r="D334" s="2" t="s">
        <v>1109</v>
      </c>
      <c r="E334" s="3">
        <v>43468</v>
      </c>
      <c r="F334">
        <f t="shared" si="10"/>
        <v>1</v>
      </c>
      <c r="G334">
        <f t="shared" si="11"/>
        <v>2019</v>
      </c>
    </row>
    <row r="335" spans="1:7" ht="24" x14ac:dyDescent="0.25">
      <c r="A335" s="2" t="s">
        <v>1110</v>
      </c>
      <c r="B335" s="2" t="s">
        <v>493</v>
      </c>
      <c r="C335" s="2" t="s">
        <v>1111</v>
      </c>
      <c r="D335" s="2" t="s">
        <v>1112</v>
      </c>
      <c r="E335" s="3">
        <v>43468</v>
      </c>
      <c r="F335">
        <f t="shared" si="10"/>
        <v>1</v>
      </c>
      <c r="G335">
        <f t="shared" si="11"/>
        <v>2019</v>
      </c>
    </row>
    <row r="336" spans="1:7" x14ac:dyDescent="0.25">
      <c r="A336" s="2" t="s">
        <v>447</v>
      </c>
      <c r="B336" s="2" t="s">
        <v>1113</v>
      </c>
      <c r="C336" s="2" t="s">
        <v>38</v>
      </c>
      <c r="D336" s="2" t="s">
        <v>24</v>
      </c>
      <c r="E336" s="3">
        <v>43468</v>
      </c>
      <c r="F336">
        <f t="shared" si="10"/>
        <v>1</v>
      </c>
      <c r="G336">
        <f t="shared" si="11"/>
        <v>2019</v>
      </c>
    </row>
    <row r="337" spans="1:7" x14ac:dyDescent="0.25">
      <c r="A337" s="2" t="s">
        <v>1114</v>
      </c>
      <c r="B337" s="2" t="s">
        <v>1115</v>
      </c>
      <c r="C337" s="2" t="s">
        <v>1116</v>
      </c>
      <c r="D337" s="2" t="s">
        <v>114</v>
      </c>
      <c r="E337" s="3">
        <v>43467</v>
      </c>
      <c r="F337">
        <f t="shared" si="10"/>
        <v>1</v>
      </c>
      <c r="G337">
        <f t="shared" si="11"/>
        <v>2019</v>
      </c>
    </row>
    <row r="338" spans="1:7" x14ac:dyDescent="0.25">
      <c r="A338" s="2" t="s">
        <v>1117</v>
      </c>
      <c r="B338" s="2" t="s">
        <v>1118</v>
      </c>
      <c r="C338" s="2" t="s">
        <v>1119</v>
      </c>
      <c r="D338" s="2" t="s">
        <v>1120</v>
      </c>
      <c r="E338" s="3">
        <v>43467</v>
      </c>
      <c r="F338">
        <f t="shared" si="10"/>
        <v>1</v>
      </c>
      <c r="G338">
        <f t="shared" si="11"/>
        <v>2019</v>
      </c>
    </row>
    <row r="339" spans="1:7" x14ac:dyDescent="0.25">
      <c r="A339" s="2" t="s">
        <v>1121</v>
      </c>
      <c r="B339" s="2" t="s">
        <v>1122</v>
      </c>
      <c r="C339" s="2" t="s">
        <v>1123</v>
      </c>
      <c r="D339" s="2" t="s">
        <v>1124</v>
      </c>
      <c r="E339" s="3">
        <v>43465</v>
      </c>
      <c r="F339">
        <f t="shared" si="10"/>
        <v>12</v>
      </c>
      <c r="G339">
        <f t="shared" si="11"/>
        <v>2018</v>
      </c>
    </row>
    <row r="340" spans="1:7" x14ac:dyDescent="0.25">
      <c r="A340" s="2" t="s">
        <v>1125</v>
      </c>
      <c r="B340" s="2" t="s">
        <v>1126</v>
      </c>
      <c r="C340" s="2" t="s">
        <v>387</v>
      </c>
      <c r="D340" s="2" t="s">
        <v>670</v>
      </c>
      <c r="E340" s="3">
        <v>43465</v>
      </c>
      <c r="F340">
        <f t="shared" si="10"/>
        <v>12</v>
      </c>
      <c r="G340">
        <f t="shared" si="11"/>
        <v>2018</v>
      </c>
    </row>
    <row r="341" spans="1:7" x14ac:dyDescent="0.25">
      <c r="A341" s="2" t="s">
        <v>1127</v>
      </c>
      <c r="B341" s="2" t="s">
        <v>1128</v>
      </c>
      <c r="C341" s="2" t="s">
        <v>1129</v>
      </c>
      <c r="D341" s="2" t="s">
        <v>1130</v>
      </c>
      <c r="E341" s="3">
        <v>43464</v>
      </c>
      <c r="F341">
        <f t="shared" si="10"/>
        <v>12</v>
      </c>
      <c r="G341">
        <f t="shared" si="11"/>
        <v>2018</v>
      </c>
    </row>
    <row r="342" spans="1:7" ht="24" x14ac:dyDescent="0.25">
      <c r="A342" s="2" t="s">
        <v>1131</v>
      </c>
      <c r="B342" s="2" t="s">
        <v>1132</v>
      </c>
      <c r="C342" s="2" t="s">
        <v>1133</v>
      </c>
      <c r="D342" s="2" t="s">
        <v>1134</v>
      </c>
      <c r="E342" s="3">
        <v>43464</v>
      </c>
      <c r="F342">
        <f t="shared" si="10"/>
        <v>12</v>
      </c>
      <c r="G342">
        <f t="shared" si="11"/>
        <v>2018</v>
      </c>
    </row>
    <row r="343" spans="1:7" x14ac:dyDescent="0.25">
      <c r="A343" s="2" t="s">
        <v>1135</v>
      </c>
      <c r="B343" s="2" t="s">
        <v>232</v>
      </c>
      <c r="C343" s="2" t="s">
        <v>1136</v>
      </c>
      <c r="D343" s="2" t="s">
        <v>1137</v>
      </c>
      <c r="E343" s="3">
        <v>43463</v>
      </c>
      <c r="F343">
        <f t="shared" si="10"/>
        <v>12</v>
      </c>
      <c r="G343">
        <f t="shared" si="11"/>
        <v>2018</v>
      </c>
    </row>
    <row r="344" spans="1:7" x14ac:dyDescent="0.25">
      <c r="A344" s="2" t="s">
        <v>1138</v>
      </c>
      <c r="B344" s="2" t="s">
        <v>1139</v>
      </c>
      <c r="C344" s="2" t="s">
        <v>1140</v>
      </c>
      <c r="D344" s="2" t="s">
        <v>141</v>
      </c>
      <c r="E344" s="3">
        <v>43463</v>
      </c>
      <c r="F344">
        <f t="shared" si="10"/>
        <v>12</v>
      </c>
      <c r="G344">
        <f t="shared" si="11"/>
        <v>2018</v>
      </c>
    </row>
    <row r="345" spans="1:7" x14ac:dyDescent="0.25">
      <c r="A345" s="2" t="s">
        <v>1141</v>
      </c>
      <c r="B345" s="2" t="s">
        <v>1142</v>
      </c>
      <c r="C345" s="2" t="s">
        <v>1143</v>
      </c>
      <c r="D345" s="2" t="s">
        <v>1144</v>
      </c>
      <c r="E345" s="3">
        <v>43463</v>
      </c>
      <c r="F345">
        <f t="shared" si="10"/>
        <v>12</v>
      </c>
      <c r="G345">
        <f t="shared" si="11"/>
        <v>2018</v>
      </c>
    </row>
    <row r="346" spans="1:7" x14ac:dyDescent="0.25">
      <c r="A346" s="2" t="s">
        <v>1145</v>
      </c>
      <c r="B346" s="2" t="s">
        <v>1146</v>
      </c>
      <c r="C346" s="2"/>
      <c r="D346" s="2"/>
      <c r="E346" s="3">
        <v>43463</v>
      </c>
      <c r="F346">
        <f t="shared" si="10"/>
        <v>12</v>
      </c>
      <c r="G346">
        <f t="shared" si="11"/>
        <v>2018</v>
      </c>
    </row>
    <row r="347" spans="1:7" x14ac:dyDescent="0.25">
      <c r="A347" s="2" t="s">
        <v>1147</v>
      </c>
      <c r="B347" s="2" t="s">
        <v>1148</v>
      </c>
      <c r="C347" s="2" t="s">
        <v>1149</v>
      </c>
      <c r="D347" s="2" t="s">
        <v>1150</v>
      </c>
      <c r="E347" s="3">
        <v>43463</v>
      </c>
      <c r="F347">
        <f t="shared" si="10"/>
        <v>12</v>
      </c>
      <c r="G347">
        <f t="shared" si="11"/>
        <v>2018</v>
      </c>
    </row>
    <row r="348" spans="1:7" x14ac:dyDescent="0.25">
      <c r="A348" s="2" t="s">
        <v>1151</v>
      </c>
      <c r="B348" s="2" t="s">
        <v>1152</v>
      </c>
      <c r="C348" s="2" t="s">
        <v>57</v>
      </c>
      <c r="D348" s="2" t="s">
        <v>1153</v>
      </c>
      <c r="E348" s="3">
        <v>43463</v>
      </c>
      <c r="F348">
        <f t="shared" si="10"/>
        <v>12</v>
      </c>
      <c r="G348">
        <f t="shared" si="11"/>
        <v>2018</v>
      </c>
    </row>
    <row r="349" spans="1:7" x14ac:dyDescent="0.25">
      <c r="A349" s="2" t="s">
        <v>1154</v>
      </c>
      <c r="B349" s="2" t="s">
        <v>1155</v>
      </c>
      <c r="C349" s="2" t="s">
        <v>1084</v>
      </c>
      <c r="D349" s="2" t="s">
        <v>1156</v>
      </c>
      <c r="E349" s="3">
        <v>43462</v>
      </c>
      <c r="F349">
        <f t="shared" si="10"/>
        <v>12</v>
      </c>
      <c r="G349">
        <f t="shared" si="11"/>
        <v>2018</v>
      </c>
    </row>
    <row r="350" spans="1:7" x14ac:dyDescent="0.25">
      <c r="A350" s="2" t="s">
        <v>569</v>
      </c>
      <c r="B350" s="2" t="s">
        <v>1157</v>
      </c>
      <c r="C350" s="2" t="s">
        <v>1119</v>
      </c>
      <c r="D350" s="2" t="s">
        <v>168</v>
      </c>
      <c r="E350" s="3">
        <v>43461</v>
      </c>
      <c r="F350">
        <f t="shared" si="10"/>
        <v>12</v>
      </c>
      <c r="G350">
        <f t="shared" si="11"/>
        <v>2018</v>
      </c>
    </row>
    <row r="351" spans="1:7" ht="24" x14ac:dyDescent="0.25">
      <c r="A351" s="2" t="s">
        <v>530</v>
      </c>
      <c r="B351" s="2" t="s">
        <v>1158</v>
      </c>
      <c r="C351" s="2" t="s">
        <v>1159</v>
      </c>
      <c r="D351" s="2" t="s">
        <v>1160</v>
      </c>
      <c r="E351" s="3">
        <v>43461</v>
      </c>
      <c r="F351">
        <f t="shared" si="10"/>
        <v>12</v>
      </c>
      <c r="G351">
        <f t="shared" si="11"/>
        <v>2018</v>
      </c>
    </row>
    <row r="352" spans="1:7" x14ac:dyDescent="0.25">
      <c r="A352" s="2" t="s">
        <v>1161</v>
      </c>
      <c r="B352" s="2" t="s">
        <v>1162</v>
      </c>
      <c r="C352" s="2" t="s">
        <v>1163</v>
      </c>
      <c r="D352" s="2" t="s">
        <v>1164</v>
      </c>
      <c r="E352" s="3">
        <v>43461</v>
      </c>
      <c r="F352">
        <f t="shared" si="10"/>
        <v>12</v>
      </c>
      <c r="G352">
        <f t="shared" si="11"/>
        <v>2018</v>
      </c>
    </row>
    <row r="353" spans="1:7" x14ac:dyDescent="0.25">
      <c r="A353" s="2" t="s">
        <v>1165</v>
      </c>
      <c r="B353" s="2" t="s">
        <v>181</v>
      </c>
      <c r="C353" s="2" t="s">
        <v>1166</v>
      </c>
      <c r="D353" s="2" t="s">
        <v>809</v>
      </c>
      <c r="E353" s="3">
        <v>43460</v>
      </c>
      <c r="F353">
        <f t="shared" si="10"/>
        <v>12</v>
      </c>
      <c r="G353">
        <f t="shared" si="11"/>
        <v>2018</v>
      </c>
    </row>
    <row r="354" spans="1:7" x14ac:dyDescent="0.25">
      <c r="A354" s="2" t="s">
        <v>1167</v>
      </c>
      <c r="B354" s="2" t="s">
        <v>1168</v>
      </c>
      <c r="C354" s="2" t="s">
        <v>1169</v>
      </c>
      <c r="D354" s="2" t="s">
        <v>1170</v>
      </c>
      <c r="E354" s="3">
        <v>43460</v>
      </c>
      <c r="F354">
        <f t="shared" si="10"/>
        <v>12</v>
      </c>
      <c r="G354">
        <f t="shared" si="11"/>
        <v>2018</v>
      </c>
    </row>
    <row r="355" spans="1:7" x14ac:dyDescent="0.25">
      <c r="A355" s="2" t="s">
        <v>1171</v>
      </c>
      <c r="B355" s="2" t="s">
        <v>1172</v>
      </c>
      <c r="C355" s="2" t="s">
        <v>1173</v>
      </c>
      <c r="D355" s="2" t="s">
        <v>365</v>
      </c>
      <c r="E355" s="3">
        <v>43460</v>
      </c>
      <c r="F355">
        <f t="shared" si="10"/>
        <v>12</v>
      </c>
      <c r="G355">
        <f t="shared" si="11"/>
        <v>2018</v>
      </c>
    </row>
    <row r="356" spans="1:7" x14ac:dyDescent="0.25">
      <c r="A356" s="2" t="s">
        <v>1174</v>
      </c>
      <c r="B356" s="2" t="s">
        <v>1175</v>
      </c>
      <c r="C356" s="2" t="s">
        <v>1176</v>
      </c>
      <c r="D356" s="2" t="s">
        <v>1177</v>
      </c>
      <c r="E356" s="3">
        <v>43458</v>
      </c>
      <c r="F356">
        <f t="shared" si="10"/>
        <v>12</v>
      </c>
      <c r="G356">
        <f t="shared" si="11"/>
        <v>2018</v>
      </c>
    </row>
    <row r="357" spans="1:7" x14ac:dyDescent="0.25">
      <c r="A357" s="2" t="s">
        <v>1178</v>
      </c>
      <c r="B357" s="2" t="s">
        <v>1179</v>
      </c>
      <c r="C357" s="2" t="s">
        <v>1180</v>
      </c>
      <c r="D357" s="2" t="s">
        <v>1181</v>
      </c>
      <c r="E357" s="3">
        <v>43458</v>
      </c>
      <c r="F357">
        <f t="shared" si="10"/>
        <v>12</v>
      </c>
      <c r="G357">
        <f t="shared" si="11"/>
        <v>2018</v>
      </c>
    </row>
    <row r="358" spans="1:7" x14ac:dyDescent="0.25">
      <c r="A358" s="2" t="s">
        <v>1182</v>
      </c>
      <c r="B358" s="2" t="s">
        <v>1183</v>
      </c>
      <c r="C358" s="2" t="s">
        <v>42</v>
      </c>
      <c r="D358" s="2" t="s">
        <v>168</v>
      </c>
      <c r="E358" s="3">
        <v>43458</v>
      </c>
      <c r="F358">
        <f t="shared" si="10"/>
        <v>12</v>
      </c>
      <c r="G358">
        <f t="shared" si="11"/>
        <v>2018</v>
      </c>
    </row>
    <row r="359" spans="1:7" x14ac:dyDescent="0.25">
      <c r="A359" s="2" t="s">
        <v>1184</v>
      </c>
      <c r="B359" s="2" t="s">
        <v>1185</v>
      </c>
      <c r="C359" s="2" t="s">
        <v>1186</v>
      </c>
      <c r="D359" s="2" t="s">
        <v>1186</v>
      </c>
      <c r="E359" s="3">
        <v>43457</v>
      </c>
      <c r="F359">
        <f t="shared" si="10"/>
        <v>12</v>
      </c>
      <c r="G359">
        <f t="shared" si="11"/>
        <v>2018</v>
      </c>
    </row>
    <row r="360" spans="1:7" x14ac:dyDescent="0.25">
      <c r="A360" s="2" t="s">
        <v>1187</v>
      </c>
      <c r="B360" s="2" t="s">
        <v>1155</v>
      </c>
      <c r="C360" s="2" t="s">
        <v>1188</v>
      </c>
      <c r="D360" s="2" t="s">
        <v>1189</v>
      </c>
      <c r="E360" s="3">
        <v>43457</v>
      </c>
      <c r="F360">
        <f t="shared" si="10"/>
        <v>12</v>
      </c>
      <c r="G360">
        <f t="shared" si="11"/>
        <v>2018</v>
      </c>
    </row>
    <row r="361" spans="1:7" x14ac:dyDescent="0.25">
      <c r="A361" s="2" t="s">
        <v>1190</v>
      </c>
      <c r="B361" s="2" t="s">
        <v>1191</v>
      </c>
      <c r="C361" s="2" t="s">
        <v>1192</v>
      </c>
      <c r="D361" s="2" t="s">
        <v>1193</v>
      </c>
      <c r="E361" s="3">
        <v>43457</v>
      </c>
      <c r="F361">
        <f t="shared" si="10"/>
        <v>12</v>
      </c>
      <c r="G361">
        <f t="shared" si="11"/>
        <v>2018</v>
      </c>
    </row>
    <row r="362" spans="1:7" ht="36" x14ac:dyDescent="0.25">
      <c r="A362" s="2" t="s">
        <v>1194</v>
      </c>
      <c r="B362" s="2" t="s">
        <v>1195</v>
      </c>
      <c r="C362" s="2" t="s">
        <v>1196</v>
      </c>
      <c r="D362" s="2" t="s">
        <v>1197</v>
      </c>
      <c r="E362" s="3">
        <v>43456</v>
      </c>
      <c r="F362">
        <f t="shared" si="10"/>
        <v>12</v>
      </c>
      <c r="G362">
        <f t="shared" si="11"/>
        <v>2018</v>
      </c>
    </row>
    <row r="363" spans="1:7" ht="24" x14ac:dyDescent="0.25">
      <c r="A363" s="2" t="s">
        <v>1198</v>
      </c>
      <c r="B363" s="2" t="s">
        <v>1199</v>
      </c>
      <c r="C363" s="2" t="s">
        <v>1200</v>
      </c>
      <c r="D363" s="2" t="s">
        <v>1201</v>
      </c>
      <c r="E363" s="3">
        <v>43456</v>
      </c>
      <c r="F363">
        <f t="shared" si="10"/>
        <v>12</v>
      </c>
      <c r="G363">
        <f t="shared" si="11"/>
        <v>2018</v>
      </c>
    </row>
    <row r="364" spans="1:7" ht="24" x14ac:dyDescent="0.25">
      <c r="A364" s="2" t="s">
        <v>922</v>
      </c>
      <c r="B364" s="2" t="s">
        <v>1202</v>
      </c>
      <c r="C364" s="2" t="s">
        <v>1203</v>
      </c>
      <c r="D364" s="2" t="s">
        <v>1204</v>
      </c>
      <c r="E364" s="3">
        <v>43456</v>
      </c>
      <c r="F364">
        <f t="shared" si="10"/>
        <v>12</v>
      </c>
      <c r="G364">
        <f t="shared" si="11"/>
        <v>2018</v>
      </c>
    </row>
    <row r="365" spans="1:7" ht="24" x14ac:dyDescent="0.25">
      <c r="A365" s="2" t="s">
        <v>1205</v>
      </c>
      <c r="B365" s="2" t="s">
        <v>1206</v>
      </c>
      <c r="C365" s="2" t="s">
        <v>1207</v>
      </c>
      <c r="D365" s="2" t="s">
        <v>1208</v>
      </c>
      <c r="E365" s="3">
        <v>43456</v>
      </c>
      <c r="F365">
        <f t="shared" si="10"/>
        <v>12</v>
      </c>
      <c r="G365">
        <f t="shared" si="11"/>
        <v>2018</v>
      </c>
    </row>
    <row r="366" spans="1:7" x14ac:dyDescent="0.25">
      <c r="A366" s="2" t="s">
        <v>1209</v>
      </c>
      <c r="B366" s="2" t="s">
        <v>1210</v>
      </c>
      <c r="C366" s="2" t="s">
        <v>1211</v>
      </c>
      <c r="D366" s="2" t="s">
        <v>51</v>
      </c>
      <c r="E366" s="3">
        <v>43454</v>
      </c>
      <c r="F366">
        <f t="shared" si="10"/>
        <v>12</v>
      </c>
      <c r="G366">
        <f t="shared" si="11"/>
        <v>2018</v>
      </c>
    </row>
    <row r="367" spans="1:7" x14ac:dyDescent="0.25">
      <c r="A367" s="2" t="s">
        <v>1212</v>
      </c>
      <c r="B367" s="2" t="s">
        <v>1213</v>
      </c>
      <c r="C367" s="2" t="s">
        <v>91</v>
      </c>
      <c r="D367" s="2" t="s">
        <v>1214</v>
      </c>
      <c r="E367" s="3">
        <v>43454</v>
      </c>
      <c r="F367">
        <f t="shared" si="10"/>
        <v>12</v>
      </c>
      <c r="G367">
        <f t="shared" si="11"/>
        <v>2018</v>
      </c>
    </row>
    <row r="368" spans="1:7" x14ac:dyDescent="0.25">
      <c r="A368" s="2" t="s">
        <v>1215</v>
      </c>
      <c r="B368" s="2" t="s">
        <v>928</v>
      </c>
      <c r="C368" s="2" t="s">
        <v>1216</v>
      </c>
      <c r="D368" s="2" t="s">
        <v>1217</v>
      </c>
      <c r="E368" s="3">
        <v>43453</v>
      </c>
      <c r="F368">
        <f t="shared" si="10"/>
        <v>12</v>
      </c>
      <c r="G368">
        <f t="shared" si="11"/>
        <v>2018</v>
      </c>
    </row>
    <row r="369" spans="1:7" x14ac:dyDescent="0.25">
      <c r="A369" s="2" t="s">
        <v>1218</v>
      </c>
      <c r="B369" s="2" t="s">
        <v>1219</v>
      </c>
      <c r="C369" s="2" t="s">
        <v>1220</v>
      </c>
      <c r="D369" s="2" t="s">
        <v>1221</v>
      </c>
      <c r="E369" s="3">
        <v>43453</v>
      </c>
      <c r="F369">
        <f t="shared" si="10"/>
        <v>12</v>
      </c>
      <c r="G369">
        <f t="shared" si="11"/>
        <v>2018</v>
      </c>
    </row>
    <row r="370" spans="1:7" x14ac:dyDescent="0.25">
      <c r="A370" s="2" t="s">
        <v>1222</v>
      </c>
      <c r="B370" s="2" t="s">
        <v>1223</v>
      </c>
      <c r="C370" s="2" t="s">
        <v>673</v>
      </c>
      <c r="D370" s="2" t="s">
        <v>1224</v>
      </c>
      <c r="E370" s="3">
        <v>43453</v>
      </c>
      <c r="F370">
        <f t="shared" si="10"/>
        <v>12</v>
      </c>
      <c r="G370">
        <f t="shared" si="11"/>
        <v>2018</v>
      </c>
    </row>
    <row r="371" spans="1:7" x14ac:dyDescent="0.25">
      <c r="A371" s="2" t="s">
        <v>21</v>
      </c>
      <c r="B371" s="2" t="s">
        <v>1225</v>
      </c>
      <c r="C371" s="2" t="s">
        <v>1226</v>
      </c>
      <c r="D371" s="2" t="s">
        <v>8</v>
      </c>
      <c r="E371" s="3">
        <v>43453</v>
      </c>
      <c r="F371">
        <f t="shared" si="10"/>
        <v>12</v>
      </c>
      <c r="G371">
        <f t="shared" si="11"/>
        <v>2018</v>
      </c>
    </row>
    <row r="372" spans="1:7" x14ac:dyDescent="0.25">
      <c r="A372" s="2" t="s">
        <v>1227</v>
      </c>
      <c r="B372" s="2" t="s">
        <v>1228</v>
      </c>
      <c r="C372" s="2" t="s">
        <v>1229</v>
      </c>
      <c r="D372" s="2" t="s">
        <v>287</v>
      </c>
      <c r="E372" s="3">
        <v>43452</v>
      </c>
      <c r="F372">
        <f t="shared" si="10"/>
        <v>12</v>
      </c>
      <c r="G372">
        <f t="shared" si="11"/>
        <v>2018</v>
      </c>
    </row>
    <row r="373" spans="1:7" x14ac:dyDescent="0.25">
      <c r="A373" s="2" t="s">
        <v>1191</v>
      </c>
      <c r="B373" s="2" t="s">
        <v>1230</v>
      </c>
      <c r="C373" s="2" t="s">
        <v>1231</v>
      </c>
      <c r="D373" s="2" t="s">
        <v>1232</v>
      </c>
      <c r="E373" s="3">
        <v>43452</v>
      </c>
      <c r="F373">
        <f t="shared" si="10"/>
        <v>12</v>
      </c>
      <c r="G373">
        <f t="shared" si="11"/>
        <v>2018</v>
      </c>
    </row>
    <row r="374" spans="1:7" ht="24" x14ac:dyDescent="0.25">
      <c r="A374" s="2" t="s">
        <v>755</v>
      </c>
      <c r="B374" s="2" t="s">
        <v>1233</v>
      </c>
      <c r="C374" s="2" t="s">
        <v>91</v>
      </c>
      <c r="D374" s="2" t="s">
        <v>1234</v>
      </c>
      <c r="E374" s="3">
        <v>43452</v>
      </c>
      <c r="F374">
        <f t="shared" si="10"/>
        <v>12</v>
      </c>
      <c r="G374">
        <f t="shared" si="11"/>
        <v>2018</v>
      </c>
    </row>
    <row r="375" spans="1:7" x14ac:dyDescent="0.25">
      <c r="A375" s="2" t="s">
        <v>1235</v>
      </c>
      <c r="B375" s="2" t="s">
        <v>1236</v>
      </c>
      <c r="C375" s="2" t="s">
        <v>117</v>
      </c>
      <c r="D375" s="2" t="s">
        <v>664</v>
      </c>
      <c r="E375" s="3">
        <v>43451</v>
      </c>
      <c r="F375">
        <f t="shared" si="10"/>
        <v>12</v>
      </c>
      <c r="G375">
        <f t="shared" si="11"/>
        <v>2018</v>
      </c>
    </row>
    <row r="376" spans="1:7" x14ac:dyDescent="0.25">
      <c r="A376" s="2" t="s">
        <v>1237</v>
      </c>
      <c r="B376" s="2" t="s">
        <v>1238</v>
      </c>
      <c r="C376" s="2" t="s">
        <v>1239</v>
      </c>
      <c r="D376" s="2" t="s">
        <v>221</v>
      </c>
      <c r="E376" s="3">
        <v>43449</v>
      </c>
      <c r="F376">
        <f t="shared" si="10"/>
        <v>12</v>
      </c>
      <c r="G376">
        <f t="shared" si="11"/>
        <v>2018</v>
      </c>
    </row>
    <row r="377" spans="1:7" x14ac:dyDescent="0.25">
      <c r="A377" s="2" t="s">
        <v>1240</v>
      </c>
      <c r="B377" s="2" t="s">
        <v>596</v>
      </c>
      <c r="C377" s="2" t="s">
        <v>1241</v>
      </c>
      <c r="D377" s="2" t="s">
        <v>1242</v>
      </c>
      <c r="E377" s="3">
        <v>43449</v>
      </c>
      <c r="F377">
        <f t="shared" si="10"/>
        <v>12</v>
      </c>
      <c r="G377">
        <f t="shared" si="11"/>
        <v>2018</v>
      </c>
    </row>
    <row r="378" spans="1:7" x14ac:dyDescent="0.25">
      <c r="A378" s="2" t="s">
        <v>1243</v>
      </c>
      <c r="B378" s="2" t="s">
        <v>1244</v>
      </c>
      <c r="C378" s="2" t="s">
        <v>1245</v>
      </c>
      <c r="D378" s="2" t="s">
        <v>1246</v>
      </c>
      <c r="E378" s="3">
        <v>43448</v>
      </c>
      <c r="F378">
        <f t="shared" si="10"/>
        <v>12</v>
      </c>
      <c r="G378">
        <f t="shared" si="11"/>
        <v>2018</v>
      </c>
    </row>
    <row r="379" spans="1:7" x14ac:dyDescent="0.25">
      <c r="A379" s="2" t="s">
        <v>1247</v>
      </c>
      <c r="B379" s="2" t="s">
        <v>1248</v>
      </c>
      <c r="C379" s="2" t="s">
        <v>1249</v>
      </c>
      <c r="D379" s="2" t="s">
        <v>1250</v>
      </c>
      <c r="E379" s="3">
        <v>43448</v>
      </c>
      <c r="F379">
        <f t="shared" si="10"/>
        <v>12</v>
      </c>
      <c r="G379">
        <f t="shared" si="11"/>
        <v>2018</v>
      </c>
    </row>
    <row r="380" spans="1:7" x14ac:dyDescent="0.25">
      <c r="A380" s="2" t="s">
        <v>1251</v>
      </c>
      <c r="B380" s="2" t="s">
        <v>1252</v>
      </c>
      <c r="C380" s="2" t="s">
        <v>1106</v>
      </c>
      <c r="D380" s="2" t="s">
        <v>311</v>
      </c>
      <c r="E380" s="3">
        <v>43447</v>
      </c>
      <c r="F380">
        <f t="shared" si="10"/>
        <v>12</v>
      </c>
      <c r="G380">
        <f t="shared" si="11"/>
        <v>2018</v>
      </c>
    </row>
    <row r="381" spans="1:7" x14ac:dyDescent="0.25">
      <c r="A381" s="2" t="s">
        <v>1253</v>
      </c>
      <c r="B381" s="2" t="s">
        <v>262</v>
      </c>
      <c r="C381" s="2" t="s">
        <v>65</v>
      </c>
      <c r="D381" s="2" t="s">
        <v>1254</v>
      </c>
      <c r="E381" s="3">
        <v>43447</v>
      </c>
      <c r="F381">
        <f t="shared" si="10"/>
        <v>12</v>
      </c>
      <c r="G381">
        <f t="shared" si="11"/>
        <v>2018</v>
      </c>
    </row>
    <row r="382" spans="1:7" x14ac:dyDescent="0.25">
      <c r="A382" s="2" t="s">
        <v>1255</v>
      </c>
      <c r="B382" s="2" t="s">
        <v>1256</v>
      </c>
      <c r="C382" s="2" t="s">
        <v>1257</v>
      </c>
      <c r="D382" s="2" t="s">
        <v>168</v>
      </c>
      <c r="E382" s="3">
        <v>43447</v>
      </c>
      <c r="F382">
        <f t="shared" si="10"/>
        <v>12</v>
      </c>
      <c r="G382">
        <f t="shared" si="11"/>
        <v>2018</v>
      </c>
    </row>
    <row r="383" spans="1:7" ht="36" x14ac:dyDescent="0.25">
      <c r="A383" s="2" t="s">
        <v>1258</v>
      </c>
      <c r="B383" s="2" t="s">
        <v>1259</v>
      </c>
      <c r="C383" s="2" t="s">
        <v>440</v>
      </c>
      <c r="D383" s="2" t="s">
        <v>1260</v>
      </c>
      <c r="E383" s="3">
        <v>43447</v>
      </c>
      <c r="F383">
        <f t="shared" si="10"/>
        <v>12</v>
      </c>
      <c r="G383">
        <f t="shared" si="11"/>
        <v>2018</v>
      </c>
    </row>
    <row r="384" spans="1:7" x14ac:dyDescent="0.25">
      <c r="A384" s="2" t="s">
        <v>1261</v>
      </c>
      <c r="B384" s="2" t="s">
        <v>381</v>
      </c>
      <c r="C384" s="2" t="s">
        <v>1262</v>
      </c>
      <c r="D384" s="2" t="s">
        <v>1263</v>
      </c>
      <c r="E384" s="3">
        <v>43447</v>
      </c>
      <c r="F384">
        <f t="shared" si="10"/>
        <v>12</v>
      </c>
      <c r="G384">
        <f t="shared" si="11"/>
        <v>2018</v>
      </c>
    </row>
    <row r="385" spans="1:7" x14ac:dyDescent="0.25">
      <c r="A385" s="2" t="s">
        <v>1264</v>
      </c>
      <c r="B385" s="2" t="s">
        <v>1265</v>
      </c>
      <c r="C385" s="2" t="s">
        <v>1266</v>
      </c>
      <c r="D385" s="2" t="s">
        <v>168</v>
      </c>
      <c r="E385" s="3">
        <v>43447</v>
      </c>
      <c r="F385">
        <f t="shared" si="10"/>
        <v>12</v>
      </c>
      <c r="G385">
        <f t="shared" si="11"/>
        <v>2018</v>
      </c>
    </row>
    <row r="386" spans="1:7" ht="36" x14ac:dyDescent="0.25">
      <c r="A386" s="2" t="s">
        <v>1267</v>
      </c>
      <c r="B386" s="2" t="s">
        <v>1268</v>
      </c>
      <c r="C386" s="2" t="s">
        <v>1269</v>
      </c>
      <c r="D386" s="2" t="s">
        <v>1270</v>
      </c>
      <c r="E386" s="3">
        <v>43447</v>
      </c>
      <c r="F386">
        <f t="shared" si="10"/>
        <v>12</v>
      </c>
      <c r="G386">
        <f t="shared" si="11"/>
        <v>2018</v>
      </c>
    </row>
    <row r="387" spans="1:7" x14ac:dyDescent="0.25">
      <c r="A387" s="2" t="s">
        <v>1271</v>
      </c>
      <c r="B387" s="2" t="s">
        <v>1272</v>
      </c>
      <c r="C387" s="2" t="s">
        <v>1273</v>
      </c>
      <c r="D387" s="2" t="s">
        <v>1274</v>
      </c>
      <c r="E387" s="3">
        <v>43447</v>
      </c>
      <c r="F387">
        <f t="shared" ref="F387:F450" si="12">MONTH(E387)</f>
        <v>12</v>
      </c>
      <c r="G387">
        <f t="shared" ref="G387:G450" si="13">YEAR(E387)</f>
        <v>2018</v>
      </c>
    </row>
    <row r="388" spans="1:7" x14ac:dyDescent="0.25">
      <c r="A388" s="2" t="s">
        <v>1275</v>
      </c>
      <c r="B388" s="2" t="s">
        <v>1276</v>
      </c>
      <c r="C388" s="2" t="s">
        <v>1277</v>
      </c>
      <c r="D388" s="2" t="s">
        <v>168</v>
      </c>
      <c r="E388" s="3">
        <v>43447</v>
      </c>
      <c r="F388">
        <f t="shared" si="12"/>
        <v>12</v>
      </c>
      <c r="G388">
        <f t="shared" si="13"/>
        <v>2018</v>
      </c>
    </row>
    <row r="389" spans="1:7" x14ac:dyDescent="0.25">
      <c r="A389" s="2" t="s">
        <v>1278</v>
      </c>
      <c r="B389" s="2" t="s">
        <v>1279</v>
      </c>
      <c r="C389" s="2" t="s">
        <v>1280</v>
      </c>
      <c r="D389" s="2" t="s">
        <v>1281</v>
      </c>
      <c r="E389" s="3">
        <v>43447</v>
      </c>
      <c r="F389">
        <f t="shared" si="12"/>
        <v>12</v>
      </c>
      <c r="G389">
        <f t="shared" si="13"/>
        <v>2018</v>
      </c>
    </row>
    <row r="390" spans="1:7" ht="24" x14ac:dyDescent="0.25">
      <c r="A390" s="2" t="s">
        <v>1282</v>
      </c>
      <c r="B390" s="2" t="s">
        <v>1283</v>
      </c>
      <c r="C390" s="2" t="s">
        <v>1284</v>
      </c>
      <c r="D390" s="2" t="s">
        <v>1285</v>
      </c>
      <c r="E390" s="3">
        <v>43446</v>
      </c>
      <c r="F390">
        <f t="shared" si="12"/>
        <v>12</v>
      </c>
      <c r="G390">
        <f t="shared" si="13"/>
        <v>2018</v>
      </c>
    </row>
    <row r="391" spans="1:7" x14ac:dyDescent="0.25">
      <c r="A391" s="2" t="s">
        <v>1286</v>
      </c>
      <c r="B391" s="2" t="s">
        <v>1287</v>
      </c>
      <c r="C391" s="2" t="s">
        <v>1288</v>
      </c>
      <c r="D391" s="2" t="s">
        <v>1289</v>
      </c>
      <c r="E391" s="3">
        <v>43446</v>
      </c>
      <c r="F391">
        <f t="shared" si="12"/>
        <v>12</v>
      </c>
      <c r="G391">
        <f t="shared" si="13"/>
        <v>2018</v>
      </c>
    </row>
    <row r="392" spans="1:7" x14ac:dyDescent="0.25">
      <c r="A392" s="2" t="s">
        <v>349</v>
      </c>
      <c r="B392" s="2" t="s">
        <v>1290</v>
      </c>
      <c r="C392" s="2" t="s">
        <v>1291</v>
      </c>
      <c r="D392" s="2" t="s">
        <v>1292</v>
      </c>
      <c r="E392" s="3">
        <v>43446</v>
      </c>
      <c r="F392">
        <f t="shared" si="12"/>
        <v>12</v>
      </c>
      <c r="G392">
        <f t="shared" si="13"/>
        <v>2018</v>
      </c>
    </row>
    <row r="393" spans="1:7" x14ac:dyDescent="0.25">
      <c r="A393" s="2" t="s">
        <v>1293</v>
      </c>
      <c r="B393" s="2" t="s">
        <v>1294</v>
      </c>
      <c r="C393" s="2" t="s">
        <v>956</v>
      </c>
      <c r="D393" s="2" t="s">
        <v>1295</v>
      </c>
      <c r="E393" s="3">
        <v>43445</v>
      </c>
      <c r="F393">
        <f t="shared" si="12"/>
        <v>12</v>
      </c>
      <c r="G393">
        <f t="shared" si="13"/>
        <v>2018</v>
      </c>
    </row>
    <row r="394" spans="1:7" x14ac:dyDescent="0.25">
      <c r="A394" s="2" t="s">
        <v>679</v>
      </c>
      <c r="B394" s="2" t="s">
        <v>1296</v>
      </c>
      <c r="C394" s="2" t="s">
        <v>1297</v>
      </c>
      <c r="D394" s="2" t="s">
        <v>1298</v>
      </c>
      <c r="E394" s="3">
        <v>43445</v>
      </c>
      <c r="F394">
        <f t="shared" si="12"/>
        <v>12</v>
      </c>
      <c r="G394">
        <f t="shared" si="13"/>
        <v>2018</v>
      </c>
    </row>
    <row r="395" spans="1:7" x14ac:dyDescent="0.25">
      <c r="A395" s="2" t="s">
        <v>1299</v>
      </c>
      <c r="B395" s="2" t="s">
        <v>1300</v>
      </c>
      <c r="C395" s="2" t="s">
        <v>376</v>
      </c>
      <c r="D395" s="2" t="s">
        <v>168</v>
      </c>
      <c r="E395" s="3">
        <v>43445</v>
      </c>
      <c r="F395">
        <f t="shared" si="12"/>
        <v>12</v>
      </c>
      <c r="G395">
        <f t="shared" si="13"/>
        <v>2018</v>
      </c>
    </row>
    <row r="396" spans="1:7" x14ac:dyDescent="0.25">
      <c r="A396" s="2" t="s">
        <v>1301</v>
      </c>
      <c r="B396" s="2" t="s">
        <v>1302</v>
      </c>
      <c r="C396" s="2" t="s">
        <v>1303</v>
      </c>
      <c r="D396" s="2" t="s">
        <v>168</v>
      </c>
      <c r="E396" s="3">
        <v>43445</v>
      </c>
      <c r="F396">
        <f t="shared" si="12"/>
        <v>12</v>
      </c>
      <c r="G396">
        <f t="shared" si="13"/>
        <v>2018</v>
      </c>
    </row>
    <row r="397" spans="1:7" x14ac:dyDescent="0.25">
      <c r="A397" s="2" t="s">
        <v>1304</v>
      </c>
      <c r="B397" s="2" t="s">
        <v>33</v>
      </c>
      <c r="C397" s="2" t="s">
        <v>1305</v>
      </c>
      <c r="D397" s="2" t="s">
        <v>1306</v>
      </c>
      <c r="E397" s="3">
        <v>43445</v>
      </c>
      <c r="F397">
        <f t="shared" si="12"/>
        <v>12</v>
      </c>
      <c r="G397">
        <f t="shared" si="13"/>
        <v>2018</v>
      </c>
    </row>
    <row r="398" spans="1:7" x14ac:dyDescent="0.25">
      <c r="A398" s="2" t="s">
        <v>1307</v>
      </c>
      <c r="B398" s="2" t="s">
        <v>424</v>
      </c>
      <c r="C398" s="2" t="s">
        <v>1308</v>
      </c>
      <c r="D398" s="2" t="s">
        <v>168</v>
      </c>
      <c r="E398" s="3">
        <v>43444</v>
      </c>
      <c r="F398">
        <f t="shared" si="12"/>
        <v>12</v>
      </c>
      <c r="G398">
        <f t="shared" si="13"/>
        <v>2018</v>
      </c>
    </row>
    <row r="399" spans="1:7" x14ac:dyDescent="0.25">
      <c r="A399" s="2" t="s">
        <v>1095</v>
      </c>
      <c r="B399" s="2" t="s">
        <v>1309</v>
      </c>
      <c r="C399" s="2" t="s">
        <v>1310</v>
      </c>
      <c r="D399" s="2" t="s">
        <v>1311</v>
      </c>
      <c r="E399" s="3">
        <v>43444</v>
      </c>
      <c r="F399">
        <f t="shared" si="12"/>
        <v>12</v>
      </c>
      <c r="G399">
        <f t="shared" si="13"/>
        <v>2018</v>
      </c>
    </row>
    <row r="400" spans="1:7" x14ac:dyDescent="0.25">
      <c r="A400" s="2" t="s">
        <v>1312</v>
      </c>
      <c r="B400" s="2" t="s">
        <v>1313</v>
      </c>
      <c r="C400" s="2" t="s">
        <v>508</v>
      </c>
      <c r="D400" s="2" t="s">
        <v>1314</v>
      </c>
      <c r="E400" s="3">
        <v>43443</v>
      </c>
      <c r="F400">
        <f t="shared" si="12"/>
        <v>12</v>
      </c>
      <c r="G400">
        <f t="shared" si="13"/>
        <v>2018</v>
      </c>
    </row>
    <row r="401" spans="1:7" x14ac:dyDescent="0.25">
      <c r="A401" s="2" t="s">
        <v>1315</v>
      </c>
      <c r="B401" s="2" t="s">
        <v>1316</v>
      </c>
      <c r="C401" s="2" t="s">
        <v>1317</v>
      </c>
      <c r="D401" s="2" t="s">
        <v>1318</v>
      </c>
      <c r="E401" s="3">
        <v>43443</v>
      </c>
      <c r="F401">
        <f t="shared" si="12"/>
        <v>12</v>
      </c>
      <c r="G401">
        <f t="shared" si="13"/>
        <v>2018</v>
      </c>
    </row>
    <row r="402" spans="1:7" x14ac:dyDescent="0.25">
      <c r="A402" s="2" t="s">
        <v>692</v>
      </c>
      <c r="B402" s="2" t="s">
        <v>883</v>
      </c>
      <c r="C402" s="2" t="s">
        <v>38</v>
      </c>
      <c r="D402" s="2" t="s">
        <v>201</v>
      </c>
      <c r="E402" s="3">
        <v>43443</v>
      </c>
      <c r="F402">
        <f t="shared" si="12"/>
        <v>12</v>
      </c>
      <c r="G402">
        <f t="shared" si="13"/>
        <v>2018</v>
      </c>
    </row>
    <row r="403" spans="1:7" x14ac:dyDescent="0.25">
      <c r="A403" s="2" t="s">
        <v>1319</v>
      </c>
      <c r="B403" s="2" t="s">
        <v>1320</v>
      </c>
      <c r="C403" s="2" t="s">
        <v>1321</v>
      </c>
      <c r="D403" s="2" t="s">
        <v>1322</v>
      </c>
      <c r="E403" s="3">
        <v>43441</v>
      </c>
      <c r="F403">
        <f t="shared" si="12"/>
        <v>12</v>
      </c>
      <c r="G403">
        <f t="shared" si="13"/>
        <v>2018</v>
      </c>
    </row>
    <row r="404" spans="1:7" x14ac:dyDescent="0.25">
      <c r="A404" s="2" t="s">
        <v>1323</v>
      </c>
      <c r="B404" s="2" t="s">
        <v>181</v>
      </c>
      <c r="C404" s="2" t="s">
        <v>1324</v>
      </c>
      <c r="D404" s="2" t="s">
        <v>957</v>
      </c>
      <c r="E404" s="3">
        <v>43439</v>
      </c>
      <c r="F404">
        <f t="shared" si="12"/>
        <v>12</v>
      </c>
      <c r="G404">
        <f t="shared" si="13"/>
        <v>2018</v>
      </c>
    </row>
    <row r="405" spans="1:7" x14ac:dyDescent="0.25">
      <c r="A405" s="2" t="s">
        <v>1325</v>
      </c>
      <c r="B405" s="2" t="s">
        <v>1326</v>
      </c>
      <c r="C405" s="2" t="s">
        <v>31</v>
      </c>
      <c r="D405" s="2" t="s">
        <v>1327</v>
      </c>
      <c r="E405" s="3">
        <v>43438</v>
      </c>
      <c r="F405">
        <f t="shared" si="12"/>
        <v>12</v>
      </c>
      <c r="G405">
        <f t="shared" si="13"/>
        <v>2018</v>
      </c>
    </row>
    <row r="406" spans="1:7" x14ac:dyDescent="0.25">
      <c r="A406" s="2" t="s">
        <v>1328</v>
      </c>
      <c r="B406" s="2" t="s">
        <v>1329</v>
      </c>
      <c r="C406" s="2" t="s">
        <v>1330</v>
      </c>
      <c r="D406" s="2" t="s">
        <v>221</v>
      </c>
      <c r="E406" s="3">
        <v>43438</v>
      </c>
      <c r="F406">
        <f t="shared" si="12"/>
        <v>12</v>
      </c>
      <c r="G406">
        <f t="shared" si="13"/>
        <v>2018</v>
      </c>
    </row>
    <row r="407" spans="1:7" x14ac:dyDescent="0.25">
      <c r="A407" s="2" t="s">
        <v>1331</v>
      </c>
      <c r="B407" s="2" t="s">
        <v>232</v>
      </c>
      <c r="C407" s="2" t="s">
        <v>508</v>
      </c>
      <c r="D407" s="2" t="s">
        <v>963</v>
      </c>
      <c r="E407" s="3">
        <v>43437</v>
      </c>
      <c r="F407">
        <f t="shared" si="12"/>
        <v>12</v>
      </c>
      <c r="G407">
        <f t="shared" si="13"/>
        <v>2018</v>
      </c>
    </row>
    <row r="408" spans="1:7" x14ac:dyDescent="0.25">
      <c r="A408" s="2" t="s">
        <v>1332</v>
      </c>
      <c r="B408" s="2" t="s">
        <v>1326</v>
      </c>
      <c r="C408" s="2" t="s">
        <v>1333</v>
      </c>
      <c r="D408" s="2" t="s">
        <v>88</v>
      </c>
      <c r="E408" s="3">
        <v>43437</v>
      </c>
      <c r="F408">
        <f t="shared" si="12"/>
        <v>12</v>
      </c>
      <c r="G408">
        <f t="shared" si="13"/>
        <v>2018</v>
      </c>
    </row>
    <row r="409" spans="1:7" ht="60" x14ac:dyDescent="0.25">
      <c r="A409" s="2" t="s">
        <v>1027</v>
      </c>
      <c r="B409" s="2" t="s">
        <v>1334</v>
      </c>
      <c r="C409" s="2" t="s">
        <v>1335</v>
      </c>
      <c r="D409" s="2" t="s">
        <v>1336</v>
      </c>
      <c r="E409" s="3">
        <v>43436</v>
      </c>
      <c r="F409">
        <f t="shared" si="12"/>
        <v>12</v>
      </c>
      <c r="G409">
        <f t="shared" si="13"/>
        <v>2018</v>
      </c>
    </row>
    <row r="410" spans="1:7" x14ac:dyDescent="0.25">
      <c r="A410" s="2" t="s">
        <v>1337</v>
      </c>
      <c r="B410" s="2" t="s">
        <v>1338</v>
      </c>
      <c r="C410" s="2" t="s">
        <v>1339</v>
      </c>
      <c r="D410" s="2" t="s">
        <v>1340</v>
      </c>
      <c r="E410" s="3">
        <v>43436</v>
      </c>
      <c r="F410">
        <f t="shared" si="12"/>
        <v>12</v>
      </c>
      <c r="G410">
        <f t="shared" si="13"/>
        <v>2018</v>
      </c>
    </row>
    <row r="411" spans="1:7" x14ac:dyDescent="0.25">
      <c r="A411" s="2" t="s">
        <v>586</v>
      </c>
      <c r="B411" s="2" t="s">
        <v>1341</v>
      </c>
      <c r="C411" s="2" t="s">
        <v>1342</v>
      </c>
      <c r="D411" s="2" t="s">
        <v>1343</v>
      </c>
      <c r="E411" s="3">
        <v>43436</v>
      </c>
      <c r="F411">
        <f t="shared" si="12"/>
        <v>12</v>
      </c>
      <c r="G411">
        <f t="shared" si="13"/>
        <v>2018</v>
      </c>
    </row>
    <row r="412" spans="1:7" ht="24" x14ac:dyDescent="0.25">
      <c r="A412" s="2" t="s">
        <v>1344</v>
      </c>
      <c r="B412" s="2" t="s">
        <v>1345</v>
      </c>
      <c r="C412" s="2" t="s">
        <v>1346</v>
      </c>
      <c r="D412" s="2" t="s">
        <v>1347</v>
      </c>
      <c r="E412" s="3">
        <v>43436</v>
      </c>
      <c r="F412">
        <f t="shared" si="12"/>
        <v>12</v>
      </c>
      <c r="G412">
        <f t="shared" si="13"/>
        <v>2018</v>
      </c>
    </row>
    <row r="413" spans="1:7" x14ac:dyDescent="0.25">
      <c r="A413" s="2" t="s">
        <v>622</v>
      </c>
      <c r="B413" s="2" t="s">
        <v>1348</v>
      </c>
      <c r="C413" s="2" t="s">
        <v>1349</v>
      </c>
      <c r="D413" s="2" t="s">
        <v>1350</v>
      </c>
      <c r="E413" s="3">
        <v>43433</v>
      </c>
      <c r="F413">
        <f t="shared" si="12"/>
        <v>11</v>
      </c>
      <c r="G413">
        <f t="shared" si="13"/>
        <v>2018</v>
      </c>
    </row>
    <row r="414" spans="1:7" x14ac:dyDescent="0.25">
      <c r="A414" s="2" t="s">
        <v>1351</v>
      </c>
      <c r="B414" s="2" t="s">
        <v>1352</v>
      </c>
      <c r="C414" s="2" t="s">
        <v>1353</v>
      </c>
      <c r="D414" s="2" t="s">
        <v>287</v>
      </c>
      <c r="E414" s="3">
        <v>43433</v>
      </c>
      <c r="F414">
        <f t="shared" si="12"/>
        <v>11</v>
      </c>
      <c r="G414">
        <f t="shared" si="13"/>
        <v>2018</v>
      </c>
    </row>
    <row r="415" spans="1:7" x14ac:dyDescent="0.25">
      <c r="A415" s="2" t="s">
        <v>1354</v>
      </c>
      <c r="B415" s="2" t="s">
        <v>1355</v>
      </c>
      <c r="C415" s="2" t="s">
        <v>1356</v>
      </c>
      <c r="D415" s="2" t="s">
        <v>168</v>
      </c>
      <c r="E415" s="3">
        <v>43433</v>
      </c>
      <c r="F415">
        <f t="shared" si="12"/>
        <v>11</v>
      </c>
      <c r="G415">
        <f t="shared" si="13"/>
        <v>2018</v>
      </c>
    </row>
    <row r="416" spans="1:7" x14ac:dyDescent="0.25">
      <c r="A416" s="2" t="s">
        <v>1357</v>
      </c>
      <c r="B416" s="2" t="s">
        <v>1358</v>
      </c>
      <c r="C416" s="2" t="s">
        <v>1359</v>
      </c>
      <c r="D416" s="2" t="s">
        <v>114</v>
      </c>
      <c r="E416" s="3">
        <v>43433</v>
      </c>
      <c r="F416">
        <f t="shared" si="12"/>
        <v>11</v>
      </c>
      <c r="G416">
        <f t="shared" si="13"/>
        <v>2018</v>
      </c>
    </row>
    <row r="417" spans="1:7" x14ac:dyDescent="0.25">
      <c r="A417" s="2" t="s">
        <v>36</v>
      </c>
      <c r="B417" s="2" t="s">
        <v>1360</v>
      </c>
      <c r="C417" s="2" t="s">
        <v>1361</v>
      </c>
      <c r="D417" s="2" t="s">
        <v>168</v>
      </c>
      <c r="E417" s="3">
        <v>43433</v>
      </c>
      <c r="F417">
        <f t="shared" si="12"/>
        <v>11</v>
      </c>
      <c r="G417">
        <f t="shared" si="13"/>
        <v>2018</v>
      </c>
    </row>
    <row r="418" spans="1:7" x14ac:dyDescent="0.25">
      <c r="A418" s="2" t="s">
        <v>1362</v>
      </c>
      <c r="B418" s="2" t="s">
        <v>1363</v>
      </c>
      <c r="C418" s="2" t="s">
        <v>1364</v>
      </c>
      <c r="D418" s="2" t="s">
        <v>912</v>
      </c>
      <c r="E418" s="3">
        <v>43432</v>
      </c>
      <c r="F418">
        <f t="shared" si="12"/>
        <v>11</v>
      </c>
      <c r="G418">
        <f t="shared" si="13"/>
        <v>2018</v>
      </c>
    </row>
    <row r="419" spans="1:7" x14ac:dyDescent="0.25">
      <c r="A419" s="2" t="s">
        <v>1365</v>
      </c>
      <c r="B419" s="2" t="s">
        <v>1366</v>
      </c>
      <c r="C419" s="2" t="s">
        <v>1367</v>
      </c>
      <c r="D419" s="2" t="s">
        <v>1368</v>
      </c>
      <c r="E419" s="3">
        <v>43432</v>
      </c>
      <c r="F419">
        <f t="shared" si="12"/>
        <v>11</v>
      </c>
      <c r="G419">
        <f t="shared" si="13"/>
        <v>2018</v>
      </c>
    </row>
    <row r="420" spans="1:7" x14ac:dyDescent="0.25">
      <c r="A420" s="2" t="s">
        <v>1369</v>
      </c>
      <c r="B420" s="2" t="s">
        <v>1370</v>
      </c>
      <c r="C420" s="2" t="s">
        <v>1371</v>
      </c>
      <c r="D420" s="2" t="s">
        <v>1372</v>
      </c>
      <c r="E420" s="3">
        <v>43431</v>
      </c>
      <c r="F420">
        <f t="shared" si="12"/>
        <v>11</v>
      </c>
      <c r="G420">
        <f t="shared" si="13"/>
        <v>2018</v>
      </c>
    </row>
    <row r="421" spans="1:7" x14ac:dyDescent="0.25">
      <c r="A421" s="2" t="s">
        <v>1373</v>
      </c>
      <c r="B421" s="2" t="s">
        <v>1374</v>
      </c>
      <c r="C421" s="2" t="s">
        <v>1375</v>
      </c>
      <c r="D421" s="2" t="s">
        <v>1376</v>
      </c>
      <c r="E421" s="3">
        <v>43431</v>
      </c>
      <c r="F421">
        <f t="shared" si="12"/>
        <v>11</v>
      </c>
      <c r="G421">
        <f t="shared" si="13"/>
        <v>2018</v>
      </c>
    </row>
    <row r="422" spans="1:7" x14ac:dyDescent="0.25">
      <c r="A422" s="2" t="s">
        <v>772</v>
      </c>
      <c r="B422" s="2" t="s">
        <v>1377</v>
      </c>
      <c r="C422" s="2" t="s">
        <v>1378</v>
      </c>
      <c r="D422" s="2" t="s">
        <v>1379</v>
      </c>
      <c r="E422" s="3">
        <v>43431</v>
      </c>
      <c r="F422">
        <f t="shared" si="12"/>
        <v>11</v>
      </c>
      <c r="G422">
        <f t="shared" si="13"/>
        <v>2018</v>
      </c>
    </row>
    <row r="423" spans="1:7" x14ac:dyDescent="0.25">
      <c r="A423" s="2" t="s">
        <v>1380</v>
      </c>
      <c r="B423" s="2" t="s">
        <v>1381</v>
      </c>
      <c r="C423" s="2" t="s">
        <v>1382</v>
      </c>
      <c r="D423" s="2" t="s">
        <v>1383</v>
      </c>
      <c r="E423" s="3">
        <v>43430</v>
      </c>
      <c r="F423">
        <f t="shared" si="12"/>
        <v>11</v>
      </c>
      <c r="G423">
        <f t="shared" si="13"/>
        <v>2018</v>
      </c>
    </row>
    <row r="424" spans="1:7" ht="24" x14ac:dyDescent="0.25">
      <c r="A424" s="2" t="s">
        <v>1384</v>
      </c>
      <c r="B424" s="2" t="s">
        <v>1385</v>
      </c>
      <c r="C424" s="2" t="s">
        <v>1386</v>
      </c>
      <c r="D424" s="2" t="s">
        <v>1383</v>
      </c>
      <c r="E424" s="3">
        <v>43430</v>
      </c>
      <c r="F424">
        <f t="shared" si="12"/>
        <v>11</v>
      </c>
      <c r="G424">
        <f t="shared" si="13"/>
        <v>2018</v>
      </c>
    </row>
    <row r="425" spans="1:7" x14ac:dyDescent="0.25">
      <c r="A425" s="2" t="s">
        <v>1387</v>
      </c>
      <c r="B425" s="2" t="s">
        <v>1388</v>
      </c>
      <c r="C425" s="2" t="s">
        <v>148</v>
      </c>
      <c r="D425" s="2" t="s">
        <v>287</v>
      </c>
      <c r="E425" s="3">
        <v>43430</v>
      </c>
      <c r="F425">
        <f t="shared" si="12"/>
        <v>11</v>
      </c>
      <c r="G425">
        <f t="shared" si="13"/>
        <v>2018</v>
      </c>
    </row>
    <row r="426" spans="1:7" x14ac:dyDescent="0.25">
      <c r="A426" s="2" t="s">
        <v>1389</v>
      </c>
      <c r="B426" s="2" t="s">
        <v>68</v>
      </c>
      <c r="C426" s="2" t="s">
        <v>1390</v>
      </c>
      <c r="D426" s="2" t="s">
        <v>1391</v>
      </c>
      <c r="E426" s="3">
        <v>43430</v>
      </c>
      <c r="F426">
        <f t="shared" si="12"/>
        <v>11</v>
      </c>
      <c r="G426">
        <f t="shared" si="13"/>
        <v>2018</v>
      </c>
    </row>
    <row r="427" spans="1:7" x14ac:dyDescent="0.25">
      <c r="A427" s="2" t="s">
        <v>318</v>
      </c>
      <c r="B427" s="2" t="s">
        <v>574</v>
      </c>
      <c r="C427" s="2" t="s">
        <v>1392</v>
      </c>
      <c r="D427" s="2" t="s">
        <v>165</v>
      </c>
      <c r="E427" s="3">
        <v>43430</v>
      </c>
      <c r="F427">
        <f t="shared" si="12"/>
        <v>11</v>
      </c>
      <c r="G427">
        <f t="shared" si="13"/>
        <v>2018</v>
      </c>
    </row>
    <row r="428" spans="1:7" ht="24" x14ac:dyDescent="0.25">
      <c r="A428" s="2" t="s">
        <v>1393</v>
      </c>
      <c r="B428" s="2" t="s">
        <v>1394</v>
      </c>
      <c r="C428" s="2" t="s">
        <v>1395</v>
      </c>
      <c r="D428" s="2" t="s">
        <v>1396</v>
      </c>
      <c r="E428" s="3">
        <v>43429</v>
      </c>
      <c r="F428">
        <f t="shared" si="12"/>
        <v>11</v>
      </c>
      <c r="G428">
        <f t="shared" si="13"/>
        <v>2018</v>
      </c>
    </row>
    <row r="429" spans="1:7" x14ac:dyDescent="0.25">
      <c r="A429" s="2" t="s">
        <v>312</v>
      </c>
      <c r="B429" s="2" t="s">
        <v>535</v>
      </c>
      <c r="C429" s="2" t="s">
        <v>1397</v>
      </c>
      <c r="D429" s="2" t="s">
        <v>1398</v>
      </c>
      <c r="E429" s="3">
        <v>43429</v>
      </c>
      <c r="F429">
        <f t="shared" si="12"/>
        <v>11</v>
      </c>
      <c r="G429">
        <f t="shared" si="13"/>
        <v>2018</v>
      </c>
    </row>
    <row r="430" spans="1:7" x14ac:dyDescent="0.25">
      <c r="A430" s="2" t="s">
        <v>1399</v>
      </c>
      <c r="B430" s="2" t="s">
        <v>1400</v>
      </c>
      <c r="C430" s="2" t="s">
        <v>1401</v>
      </c>
      <c r="D430" s="2" t="s">
        <v>1402</v>
      </c>
      <c r="E430" s="3">
        <v>43429</v>
      </c>
      <c r="F430">
        <f t="shared" si="12"/>
        <v>11</v>
      </c>
      <c r="G430">
        <f t="shared" si="13"/>
        <v>2018</v>
      </c>
    </row>
    <row r="431" spans="1:7" x14ac:dyDescent="0.25">
      <c r="A431" s="2" t="s">
        <v>1403</v>
      </c>
      <c r="B431" s="2" t="s">
        <v>1404</v>
      </c>
      <c r="C431" s="2" t="s">
        <v>1405</v>
      </c>
      <c r="D431" s="2" t="s">
        <v>1406</v>
      </c>
      <c r="E431" s="3">
        <v>43429</v>
      </c>
      <c r="F431">
        <f t="shared" si="12"/>
        <v>11</v>
      </c>
      <c r="G431">
        <f t="shared" si="13"/>
        <v>2018</v>
      </c>
    </row>
    <row r="432" spans="1:7" ht="24" x14ac:dyDescent="0.25">
      <c r="A432" s="2" t="s">
        <v>1407</v>
      </c>
      <c r="B432" s="2" t="s">
        <v>1408</v>
      </c>
      <c r="C432" s="2" t="s">
        <v>1409</v>
      </c>
      <c r="D432" s="2" t="s">
        <v>1410</v>
      </c>
      <c r="E432" s="3">
        <v>43429</v>
      </c>
      <c r="F432">
        <f t="shared" si="12"/>
        <v>11</v>
      </c>
      <c r="G432">
        <f t="shared" si="13"/>
        <v>2018</v>
      </c>
    </row>
    <row r="433" spans="1:7" x14ac:dyDescent="0.25">
      <c r="A433" s="2" t="s">
        <v>679</v>
      </c>
      <c r="B433" s="2" t="s">
        <v>1411</v>
      </c>
      <c r="C433" s="2" t="s">
        <v>1409</v>
      </c>
      <c r="D433" s="2" t="s">
        <v>1412</v>
      </c>
      <c r="E433" s="3">
        <v>43429</v>
      </c>
      <c r="F433">
        <f t="shared" si="12"/>
        <v>11</v>
      </c>
      <c r="G433">
        <f t="shared" si="13"/>
        <v>2018</v>
      </c>
    </row>
    <row r="434" spans="1:7" x14ac:dyDescent="0.25">
      <c r="A434" s="2" t="s">
        <v>1413</v>
      </c>
      <c r="B434" s="2" t="s">
        <v>680</v>
      </c>
      <c r="C434" s="2" t="s">
        <v>1414</v>
      </c>
      <c r="D434" s="2" t="s">
        <v>145</v>
      </c>
      <c r="E434" s="3">
        <v>43428</v>
      </c>
      <c r="F434">
        <f t="shared" si="12"/>
        <v>11</v>
      </c>
      <c r="G434">
        <f t="shared" si="13"/>
        <v>2018</v>
      </c>
    </row>
    <row r="435" spans="1:7" x14ac:dyDescent="0.25">
      <c r="A435" s="2" t="s">
        <v>1415</v>
      </c>
      <c r="B435" s="2" t="s">
        <v>1360</v>
      </c>
      <c r="C435" s="2" t="s">
        <v>1416</v>
      </c>
      <c r="D435" s="2" t="s">
        <v>1417</v>
      </c>
      <c r="E435" s="3">
        <v>43428</v>
      </c>
      <c r="F435">
        <f t="shared" si="12"/>
        <v>11</v>
      </c>
      <c r="G435">
        <f t="shared" si="13"/>
        <v>2018</v>
      </c>
    </row>
    <row r="436" spans="1:7" x14ac:dyDescent="0.25">
      <c r="A436" s="2" t="s">
        <v>1418</v>
      </c>
      <c r="B436" s="2" t="s">
        <v>1419</v>
      </c>
      <c r="C436" s="2" t="s">
        <v>1339</v>
      </c>
      <c r="D436" s="2" t="s">
        <v>1420</v>
      </c>
      <c r="E436" s="3">
        <v>43428</v>
      </c>
      <c r="F436">
        <f t="shared" si="12"/>
        <v>11</v>
      </c>
      <c r="G436">
        <f t="shared" si="13"/>
        <v>2018</v>
      </c>
    </row>
    <row r="437" spans="1:7" ht="24" x14ac:dyDescent="0.25">
      <c r="A437" s="2" t="s">
        <v>1421</v>
      </c>
      <c r="B437" s="2" t="s">
        <v>1422</v>
      </c>
      <c r="C437" s="2" t="s">
        <v>1423</v>
      </c>
      <c r="D437" s="2" t="s">
        <v>1424</v>
      </c>
      <c r="E437" s="3">
        <v>43428</v>
      </c>
      <c r="F437">
        <f t="shared" si="12"/>
        <v>11</v>
      </c>
      <c r="G437">
        <f t="shared" si="13"/>
        <v>2018</v>
      </c>
    </row>
    <row r="438" spans="1:7" x14ac:dyDescent="0.25">
      <c r="A438" s="2" t="s">
        <v>1425</v>
      </c>
      <c r="B438" s="2" t="s">
        <v>1426</v>
      </c>
      <c r="C438" s="2" t="s">
        <v>1427</v>
      </c>
      <c r="D438" s="2" t="s">
        <v>873</v>
      </c>
      <c r="E438" s="3">
        <v>43428</v>
      </c>
      <c r="F438">
        <f t="shared" si="12"/>
        <v>11</v>
      </c>
      <c r="G438">
        <f t="shared" si="13"/>
        <v>2018</v>
      </c>
    </row>
    <row r="439" spans="1:7" x14ac:dyDescent="0.25">
      <c r="A439" s="2" t="s">
        <v>1428</v>
      </c>
      <c r="B439" s="2" t="s">
        <v>1429</v>
      </c>
      <c r="C439" s="2" t="s">
        <v>1430</v>
      </c>
      <c r="D439" s="2" t="s">
        <v>1431</v>
      </c>
      <c r="E439" s="3">
        <v>43428</v>
      </c>
      <c r="F439">
        <f t="shared" si="12"/>
        <v>11</v>
      </c>
      <c r="G439">
        <f t="shared" si="13"/>
        <v>2018</v>
      </c>
    </row>
    <row r="440" spans="1:7" x14ac:dyDescent="0.25">
      <c r="A440" s="2" t="s">
        <v>1432</v>
      </c>
      <c r="B440" s="2" t="s">
        <v>1433</v>
      </c>
      <c r="C440" s="2" t="s">
        <v>57</v>
      </c>
      <c r="D440" s="2" t="s">
        <v>1434</v>
      </c>
      <c r="E440" s="3">
        <v>43427</v>
      </c>
      <c r="F440">
        <f t="shared" si="12"/>
        <v>11</v>
      </c>
      <c r="G440">
        <f t="shared" si="13"/>
        <v>2018</v>
      </c>
    </row>
    <row r="441" spans="1:7" x14ac:dyDescent="0.25">
      <c r="A441" s="2" t="s">
        <v>1435</v>
      </c>
      <c r="B441" s="2" t="s">
        <v>1436</v>
      </c>
      <c r="C441" s="2" t="s">
        <v>1437</v>
      </c>
      <c r="D441" s="2" t="s">
        <v>297</v>
      </c>
      <c r="E441" s="3">
        <v>43427</v>
      </c>
      <c r="F441">
        <f t="shared" si="12"/>
        <v>11</v>
      </c>
      <c r="G441">
        <f t="shared" si="13"/>
        <v>2018</v>
      </c>
    </row>
    <row r="442" spans="1:7" x14ac:dyDescent="0.25">
      <c r="A442" s="2" t="s">
        <v>859</v>
      </c>
      <c r="B442" s="2" t="s">
        <v>1438</v>
      </c>
      <c r="C442" s="2" t="s">
        <v>609</v>
      </c>
      <c r="D442" s="2" t="s">
        <v>1439</v>
      </c>
      <c r="E442" s="3">
        <v>43427</v>
      </c>
      <c r="F442">
        <f t="shared" si="12"/>
        <v>11</v>
      </c>
      <c r="G442">
        <f t="shared" si="13"/>
        <v>2018</v>
      </c>
    </row>
    <row r="443" spans="1:7" x14ac:dyDescent="0.25">
      <c r="A443" s="2" t="s">
        <v>1440</v>
      </c>
      <c r="B443" s="2" t="s">
        <v>1441</v>
      </c>
      <c r="C443" s="2" t="s">
        <v>501</v>
      </c>
      <c r="D443" s="2" t="s">
        <v>502</v>
      </c>
      <c r="E443" s="3">
        <v>43426</v>
      </c>
      <c r="F443">
        <f t="shared" si="12"/>
        <v>11</v>
      </c>
      <c r="G443">
        <f t="shared" si="13"/>
        <v>2018</v>
      </c>
    </row>
    <row r="444" spans="1:7" x14ac:dyDescent="0.25">
      <c r="A444" s="2" t="s">
        <v>1442</v>
      </c>
      <c r="B444" s="2" t="s">
        <v>1443</v>
      </c>
      <c r="C444" s="2" t="s">
        <v>1444</v>
      </c>
      <c r="D444" s="2" t="s">
        <v>1445</v>
      </c>
      <c r="E444" s="3">
        <v>43426</v>
      </c>
      <c r="F444">
        <f t="shared" si="12"/>
        <v>11</v>
      </c>
      <c r="G444">
        <f t="shared" si="13"/>
        <v>2018</v>
      </c>
    </row>
    <row r="445" spans="1:7" ht="24" x14ac:dyDescent="0.25">
      <c r="A445" s="2" t="s">
        <v>1446</v>
      </c>
      <c r="B445" s="2" t="s">
        <v>1447</v>
      </c>
      <c r="C445" s="2" t="s">
        <v>1448</v>
      </c>
      <c r="D445" s="2" t="s">
        <v>1449</v>
      </c>
      <c r="E445" s="3">
        <v>43425</v>
      </c>
      <c r="F445">
        <f t="shared" si="12"/>
        <v>11</v>
      </c>
      <c r="G445">
        <f t="shared" si="13"/>
        <v>2018</v>
      </c>
    </row>
    <row r="446" spans="1:7" x14ac:dyDescent="0.25">
      <c r="A446" s="2" t="s">
        <v>1328</v>
      </c>
      <c r="B446" s="2" t="s">
        <v>1450</v>
      </c>
      <c r="C446" s="2" t="s">
        <v>1451</v>
      </c>
      <c r="D446" s="2" t="s">
        <v>256</v>
      </c>
      <c r="E446" s="3">
        <v>43425</v>
      </c>
      <c r="F446">
        <f t="shared" si="12"/>
        <v>11</v>
      </c>
      <c r="G446">
        <f t="shared" si="13"/>
        <v>2018</v>
      </c>
    </row>
    <row r="447" spans="1:7" x14ac:dyDescent="0.25">
      <c r="A447" s="2" t="s">
        <v>305</v>
      </c>
      <c r="B447" s="2" t="s">
        <v>1452</v>
      </c>
      <c r="C447" s="2" t="s">
        <v>1453</v>
      </c>
      <c r="D447" s="2" t="s">
        <v>1454</v>
      </c>
      <c r="E447" s="3">
        <v>43424</v>
      </c>
      <c r="F447">
        <f t="shared" si="12"/>
        <v>11</v>
      </c>
      <c r="G447">
        <f t="shared" si="13"/>
        <v>2018</v>
      </c>
    </row>
    <row r="448" spans="1:7" x14ac:dyDescent="0.25">
      <c r="A448" s="2" t="s">
        <v>1455</v>
      </c>
      <c r="B448" s="2" t="s">
        <v>1456</v>
      </c>
      <c r="C448" s="2" t="s">
        <v>1457</v>
      </c>
      <c r="D448" s="2" t="s">
        <v>809</v>
      </c>
      <c r="E448" s="3">
        <v>43424</v>
      </c>
      <c r="F448">
        <f t="shared" si="12"/>
        <v>11</v>
      </c>
      <c r="G448">
        <f t="shared" si="13"/>
        <v>2018</v>
      </c>
    </row>
    <row r="449" spans="1:7" x14ac:dyDescent="0.25">
      <c r="A449" s="2" t="s">
        <v>1458</v>
      </c>
      <c r="B449" s="2" t="s">
        <v>1459</v>
      </c>
      <c r="C449" s="2" t="s">
        <v>1324</v>
      </c>
      <c r="D449" s="2" t="s">
        <v>1460</v>
      </c>
      <c r="E449" s="3">
        <v>43421</v>
      </c>
      <c r="F449">
        <f t="shared" si="12"/>
        <v>11</v>
      </c>
      <c r="G449">
        <f t="shared" si="13"/>
        <v>2018</v>
      </c>
    </row>
    <row r="450" spans="1:7" x14ac:dyDescent="0.25">
      <c r="A450" s="2" t="s">
        <v>1461</v>
      </c>
      <c r="B450" s="2" t="s">
        <v>1462</v>
      </c>
      <c r="C450" s="2" t="s">
        <v>1463</v>
      </c>
      <c r="D450" s="2" t="s">
        <v>1464</v>
      </c>
      <c r="E450" s="3">
        <v>43418</v>
      </c>
      <c r="F450">
        <f t="shared" si="12"/>
        <v>11</v>
      </c>
      <c r="G450">
        <f t="shared" si="13"/>
        <v>2018</v>
      </c>
    </row>
    <row r="451" spans="1:7" x14ac:dyDescent="0.25">
      <c r="A451" s="2" t="s">
        <v>1465</v>
      </c>
      <c r="B451" s="2" t="s">
        <v>944</v>
      </c>
      <c r="C451" s="2" t="s">
        <v>1466</v>
      </c>
      <c r="D451" s="2" t="s">
        <v>1467</v>
      </c>
      <c r="E451" s="3">
        <v>43417</v>
      </c>
      <c r="F451">
        <f t="shared" ref="F451:F514" si="14">MONTH(E451)</f>
        <v>11</v>
      </c>
      <c r="G451">
        <f t="shared" ref="G451:G514" si="15">YEAR(E451)</f>
        <v>2018</v>
      </c>
    </row>
    <row r="452" spans="1:7" x14ac:dyDescent="0.25">
      <c r="A452" s="2" t="s">
        <v>1468</v>
      </c>
      <c r="B452" s="2" t="s">
        <v>1469</v>
      </c>
      <c r="C452" s="2" t="s">
        <v>1470</v>
      </c>
      <c r="D452" s="2" t="s">
        <v>168</v>
      </c>
      <c r="E452" s="3">
        <v>43416</v>
      </c>
      <c r="F452">
        <f t="shared" si="14"/>
        <v>11</v>
      </c>
      <c r="G452">
        <f t="shared" si="15"/>
        <v>2018</v>
      </c>
    </row>
    <row r="453" spans="1:7" x14ac:dyDescent="0.25">
      <c r="A453" s="2" t="s">
        <v>1471</v>
      </c>
      <c r="B453" s="2" t="s">
        <v>1472</v>
      </c>
      <c r="C453" s="2" t="s">
        <v>1473</v>
      </c>
      <c r="D453" s="2" t="s">
        <v>1474</v>
      </c>
      <c r="E453" s="3">
        <v>43416</v>
      </c>
      <c r="F453">
        <f t="shared" si="14"/>
        <v>11</v>
      </c>
      <c r="G453">
        <f t="shared" si="15"/>
        <v>2018</v>
      </c>
    </row>
    <row r="454" spans="1:7" x14ac:dyDescent="0.25">
      <c r="A454" s="2" t="s">
        <v>1475</v>
      </c>
      <c r="B454" s="2" t="s">
        <v>1476</v>
      </c>
      <c r="C454" s="2" t="s">
        <v>1477</v>
      </c>
      <c r="D454" s="2" t="s">
        <v>168</v>
      </c>
      <c r="E454" s="3">
        <v>43412</v>
      </c>
      <c r="F454">
        <f t="shared" si="14"/>
        <v>11</v>
      </c>
      <c r="G454">
        <f t="shared" si="15"/>
        <v>2018</v>
      </c>
    </row>
    <row r="455" spans="1:7" x14ac:dyDescent="0.25">
      <c r="A455" s="2" t="s">
        <v>1478</v>
      </c>
      <c r="B455" s="2" t="s">
        <v>1479</v>
      </c>
      <c r="C455" s="2" t="s">
        <v>1480</v>
      </c>
      <c r="D455" s="2" t="s">
        <v>1481</v>
      </c>
      <c r="E455" s="3">
        <v>43412</v>
      </c>
      <c r="F455">
        <f t="shared" si="14"/>
        <v>11</v>
      </c>
      <c r="G455">
        <f t="shared" si="15"/>
        <v>2018</v>
      </c>
    </row>
    <row r="456" spans="1:7" x14ac:dyDescent="0.25">
      <c r="A456" s="2" t="s">
        <v>1482</v>
      </c>
      <c r="B456" s="2" t="s">
        <v>1400</v>
      </c>
      <c r="C456" s="2" t="s">
        <v>1067</v>
      </c>
      <c r="D456" s="2" t="s">
        <v>1483</v>
      </c>
      <c r="E456" s="3">
        <v>43412</v>
      </c>
      <c r="F456">
        <f t="shared" si="14"/>
        <v>11</v>
      </c>
      <c r="G456">
        <f t="shared" si="15"/>
        <v>2018</v>
      </c>
    </row>
    <row r="457" spans="1:7" ht="36" x14ac:dyDescent="0.25">
      <c r="A457" s="2" t="s">
        <v>1484</v>
      </c>
      <c r="B457" s="2" t="s">
        <v>1485</v>
      </c>
      <c r="C457" s="2" t="s">
        <v>1486</v>
      </c>
      <c r="D457" s="2" t="s">
        <v>1487</v>
      </c>
      <c r="E457" s="3">
        <v>43411</v>
      </c>
      <c r="F457">
        <f t="shared" si="14"/>
        <v>11</v>
      </c>
      <c r="G457">
        <f t="shared" si="15"/>
        <v>2018</v>
      </c>
    </row>
    <row r="458" spans="1:7" x14ac:dyDescent="0.25">
      <c r="A458" s="2" t="s">
        <v>1488</v>
      </c>
      <c r="B458" s="2" t="s">
        <v>1041</v>
      </c>
      <c r="C458" s="2" t="s">
        <v>1489</v>
      </c>
      <c r="D458" s="2" t="s">
        <v>1490</v>
      </c>
      <c r="E458" s="3">
        <v>43411</v>
      </c>
      <c r="F458">
        <f t="shared" si="14"/>
        <v>11</v>
      </c>
      <c r="G458">
        <f t="shared" si="15"/>
        <v>2018</v>
      </c>
    </row>
    <row r="459" spans="1:7" x14ac:dyDescent="0.25">
      <c r="A459" s="2" t="s">
        <v>1491</v>
      </c>
      <c r="B459" s="2" t="s">
        <v>1492</v>
      </c>
      <c r="C459" s="2" t="s">
        <v>1493</v>
      </c>
      <c r="D459" s="2" t="s">
        <v>549</v>
      </c>
      <c r="E459" s="3">
        <v>43411</v>
      </c>
      <c r="F459">
        <f t="shared" si="14"/>
        <v>11</v>
      </c>
      <c r="G459">
        <f t="shared" si="15"/>
        <v>2018</v>
      </c>
    </row>
    <row r="460" spans="1:7" x14ac:dyDescent="0.25">
      <c r="A460" s="2" t="s">
        <v>1494</v>
      </c>
      <c r="B460" s="2" t="s">
        <v>1495</v>
      </c>
      <c r="C460" s="2" t="s">
        <v>1496</v>
      </c>
      <c r="D460" s="2" t="s">
        <v>1497</v>
      </c>
      <c r="E460" s="3">
        <v>43407</v>
      </c>
      <c r="F460">
        <f t="shared" si="14"/>
        <v>11</v>
      </c>
      <c r="G460">
        <f t="shared" si="15"/>
        <v>2018</v>
      </c>
    </row>
    <row r="461" spans="1:7" ht="24" x14ac:dyDescent="0.25">
      <c r="A461" s="2" t="s">
        <v>1498</v>
      </c>
      <c r="B461" s="2" t="s">
        <v>1499</v>
      </c>
      <c r="C461" s="2" t="s">
        <v>1500</v>
      </c>
      <c r="D461" s="2" t="s">
        <v>1501</v>
      </c>
      <c r="E461" s="3">
        <v>43405</v>
      </c>
      <c r="F461">
        <f t="shared" si="14"/>
        <v>11</v>
      </c>
      <c r="G461">
        <f t="shared" si="15"/>
        <v>2018</v>
      </c>
    </row>
    <row r="462" spans="1:7" x14ac:dyDescent="0.25">
      <c r="A462" s="2" t="s">
        <v>1502</v>
      </c>
      <c r="B462" s="2" t="s">
        <v>1503</v>
      </c>
      <c r="C462" s="2" t="s">
        <v>1504</v>
      </c>
      <c r="D462" s="2" t="s">
        <v>1263</v>
      </c>
      <c r="E462" s="3">
        <v>43403</v>
      </c>
      <c r="F462">
        <f t="shared" si="14"/>
        <v>10</v>
      </c>
      <c r="G462">
        <f t="shared" si="15"/>
        <v>2018</v>
      </c>
    </row>
    <row r="463" spans="1:7" x14ac:dyDescent="0.25">
      <c r="A463" s="2" t="s">
        <v>1505</v>
      </c>
      <c r="B463" s="2" t="s">
        <v>1506</v>
      </c>
      <c r="C463" s="2" t="s">
        <v>1507</v>
      </c>
      <c r="D463" s="2" t="s">
        <v>1508</v>
      </c>
      <c r="E463" s="3">
        <v>43399</v>
      </c>
      <c r="F463">
        <f t="shared" si="14"/>
        <v>10</v>
      </c>
      <c r="G463">
        <f t="shared" si="15"/>
        <v>2018</v>
      </c>
    </row>
    <row r="464" spans="1:7" ht="24" x14ac:dyDescent="0.25">
      <c r="A464" s="2" t="s">
        <v>1509</v>
      </c>
      <c r="B464" s="2" t="s">
        <v>1510</v>
      </c>
      <c r="C464" s="2" t="s">
        <v>846</v>
      </c>
      <c r="D464" s="2" t="s">
        <v>1511</v>
      </c>
      <c r="E464" s="3">
        <v>43398</v>
      </c>
      <c r="F464">
        <f t="shared" si="14"/>
        <v>10</v>
      </c>
      <c r="G464">
        <f t="shared" si="15"/>
        <v>2018</v>
      </c>
    </row>
    <row r="465" spans="1:7" x14ac:dyDescent="0.25">
      <c r="A465" s="2" t="s">
        <v>1512</v>
      </c>
      <c r="B465" s="2" t="s">
        <v>1513</v>
      </c>
      <c r="C465" s="2" t="s">
        <v>1514</v>
      </c>
      <c r="D465" s="2" t="s">
        <v>1515</v>
      </c>
      <c r="E465" s="3">
        <v>43398</v>
      </c>
      <c r="F465">
        <f t="shared" si="14"/>
        <v>10</v>
      </c>
      <c r="G465">
        <f t="shared" si="15"/>
        <v>2018</v>
      </c>
    </row>
    <row r="466" spans="1:7" x14ac:dyDescent="0.25">
      <c r="A466" s="2" t="s">
        <v>104</v>
      </c>
      <c r="B466" s="2" t="s">
        <v>381</v>
      </c>
      <c r="C466" s="2" t="s">
        <v>1516</v>
      </c>
      <c r="D466" s="2" t="s">
        <v>873</v>
      </c>
      <c r="E466" s="3">
        <v>43397</v>
      </c>
      <c r="F466">
        <f t="shared" si="14"/>
        <v>10</v>
      </c>
      <c r="G466">
        <f t="shared" si="15"/>
        <v>2018</v>
      </c>
    </row>
    <row r="467" spans="1:7" x14ac:dyDescent="0.25">
      <c r="A467" s="2" t="s">
        <v>48</v>
      </c>
      <c r="B467" s="2" t="s">
        <v>1443</v>
      </c>
      <c r="C467" s="2" t="s">
        <v>140</v>
      </c>
      <c r="D467" s="2" t="s">
        <v>1517</v>
      </c>
      <c r="E467" s="3">
        <v>43396</v>
      </c>
      <c r="F467">
        <f t="shared" si="14"/>
        <v>10</v>
      </c>
      <c r="G467">
        <f t="shared" si="15"/>
        <v>2018</v>
      </c>
    </row>
    <row r="468" spans="1:7" x14ac:dyDescent="0.25">
      <c r="A468" s="2" t="s">
        <v>1518</v>
      </c>
      <c r="B468" s="2" t="s">
        <v>1519</v>
      </c>
      <c r="C468" s="2" t="s">
        <v>1520</v>
      </c>
      <c r="D468" s="2" t="s">
        <v>1521</v>
      </c>
      <c r="E468" s="3">
        <v>43396</v>
      </c>
      <c r="F468">
        <f t="shared" si="14"/>
        <v>10</v>
      </c>
      <c r="G468">
        <f t="shared" si="15"/>
        <v>2018</v>
      </c>
    </row>
    <row r="469" spans="1:7" ht="24" x14ac:dyDescent="0.25">
      <c r="A469" s="2" t="s">
        <v>1522</v>
      </c>
      <c r="B469" s="2" t="s">
        <v>1523</v>
      </c>
      <c r="C469" s="2" t="s">
        <v>1524</v>
      </c>
      <c r="D469" s="2" t="s">
        <v>1525</v>
      </c>
      <c r="E469" s="3">
        <v>43395</v>
      </c>
      <c r="F469">
        <f t="shared" si="14"/>
        <v>10</v>
      </c>
      <c r="G469">
        <f t="shared" si="15"/>
        <v>2018</v>
      </c>
    </row>
    <row r="470" spans="1:7" ht="24" x14ac:dyDescent="0.25">
      <c r="A470" s="2" t="s">
        <v>1526</v>
      </c>
      <c r="B470" s="2" t="s">
        <v>1527</v>
      </c>
      <c r="C470" s="2" t="s">
        <v>1528</v>
      </c>
      <c r="D470" s="2" t="s">
        <v>1529</v>
      </c>
      <c r="E470" s="3">
        <v>43395</v>
      </c>
      <c r="F470">
        <f t="shared" si="14"/>
        <v>10</v>
      </c>
      <c r="G470">
        <f t="shared" si="15"/>
        <v>2018</v>
      </c>
    </row>
    <row r="471" spans="1:7" x14ac:dyDescent="0.25">
      <c r="A471" s="2" t="s">
        <v>1530</v>
      </c>
      <c r="B471" s="2" t="s">
        <v>1531</v>
      </c>
      <c r="C471" s="2" t="s">
        <v>1532</v>
      </c>
      <c r="D471" s="2" t="s">
        <v>1533</v>
      </c>
      <c r="E471" s="3">
        <v>43395</v>
      </c>
      <c r="F471">
        <f t="shared" si="14"/>
        <v>10</v>
      </c>
      <c r="G471">
        <f t="shared" si="15"/>
        <v>2018</v>
      </c>
    </row>
    <row r="472" spans="1:7" x14ac:dyDescent="0.25">
      <c r="A472" s="2" t="s">
        <v>403</v>
      </c>
      <c r="B472" s="2" t="s">
        <v>507</v>
      </c>
      <c r="C472" s="2" t="s">
        <v>1534</v>
      </c>
      <c r="D472" s="2" t="s">
        <v>1535</v>
      </c>
      <c r="E472" s="3">
        <v>43395</v>
      </c>
      <c r="F472">
        <f t="shared" si="14"/>
        <v>10</v>
      </c>
      <c r="G472">
        <f t="shared" si="15"/>
        <v>2018</v>
      </c>
    </row>
    <row r="473" spans="1:7" x14ac:dyDescent="0.25">
      <c r="A473" s="2" t="s">
        <v>1536</v>
      </c>
      <c r="B473" s="2" t="s">
        <v>1537</v>
      </c>
      <c r="C473" s="2" t="s">
        <v>1538</v>
      </c>
      <c r="D473" s="2" t="s">
        <v>670</v>
      </c>
      <c r="E473" s="3">
        <v>43395</v>
      </c>
      <c r="F473">
        <f t="shared" si="14"/>
        <v>10</v>
      </c>
      <c r="G473">
        <f t="shared" si="15"/>
        <v>2018</v>
      </c>
    </row>
    <row r="474" spans="1:7" x14ac:dyDescent="0.25">
      <c r="A474" s="2" t="s">
        <v>1539</v>
      </c>
      <c r="B474" s="2" t="s">
        <v>1540</v>
      </c>
      <c r="C474" s="2" t="s">
        <v>1541</v>
      </c>
      <c r="D474" s="2" t="s">
        <v>168</v>
      </c>
      <c r="E474" s="3">
        <v>43395</v>
      </c>
      <c r="F474">
        <f t="shared" si="14"/>
        <v>10</v>
      </c>
      <c r="G474">
        <f t="shared" si="15"/>
        <v>2018</v>
      </c>
    </row>
    <row r="475" spans="1:7" x14ac:dyDescent="0.25">
      <c r="A475" s="2" t="s">
        <v>1542</v>
      </c>
      <c r="B475" s="2" t="s">
        <v>530</v>
      </c>
      <c r="C475" s="2" t="s">
        <v>1543</v>
      </c>
      <c r="D475" s="2" t="s">
        <v>1544</v>
      </c>
      <c r="E475" s="3">
        <v>43391</v>
      </c>
      <c r="F475">
        <f t="shared" si="14"/>
        <v>10</v>
      </c>
      <c r="G475">
        <f t="shared" si="15"/>
        <v>2018</v>
      </c>
    </row>
    <row r="476" spans="1:7" x14ac:dyDescent="0.25">
      <c r="A476" s="2" t="s">
        <v>1545</v>
      </c>
      <c r="B476" s="2" t="s">
        <v>1546</v>
      </c>
      <c r="C476" s="2" t="s">
        <v>1547</v>
      </c>
      <c r="D476" s="2" t="s">
        <v>1548</v>
      </c>
      <c r="E476" s="3">
        <v>43390</v>
      </c>
      <c r="F476">
        <f t="shared" si="14"/>
        <v>10</v>
      </c>
      <c r="G476">
        <f t="shared" si="15"/>
        <v>2018</v>
      </c>
    </row>
    <row r="477" spans="1:7" x14ac:dyDescent="0.25">
      <c r="A477" s="2" t="s">
        <v>1549</v>
      </c>
      <c r="B477" s="2" t="s">
        <v>1550</v>
      </c>
      <c r="C477" s="2" t="s">
        <v>1551</v>
      </c>
      <c r="D477" s="2" t="s">
        <v>1552</v>
      </c>
      <c r="E477" s="3">
        <v>43389</v>
      </c>
      <c r="F477">
        <f t="shared" si="14"/>
        <v>10</v>
      </c>
      <c r="G477">
        <f t="shared" si="15"/>
        <v>2018</v>
      </c>
    </row>
    <row r="478" spans="1:7" x14ac:dyDescent="0.25">
      <c r="A478" s="2" t="s">
        <v>1553</v>
      </c>
      <c r="B478" s="2" t="s">
        <v>223</v>
      </c>
      <c r="C478" s="2" t="s">
        <v>1554</v>
      </c>
      <c r="D478" s="2" t="s">
        <v>1555</v>
      </c>
      <c r="E478" s="3">
        <v>43389</v>
      </c>
      <c r="F478">
        <f t="shared" si="14"/>
        <v>10</v>
      </c>
      <c r="G478">
        <f t="shared" si="15"/>
        <v>2018</v>
      </c>
    </row>
    <row r="479" spans="1:7" x14ac:dyDescent="0.25">
      <c r="A479" s="2" t="s">
        <v>1556</v>
      </c>
      <c r="B479" s="2" t="s">
        <v>1557</v>
      </c>
      <c r="C479" s="2" t="s">
        <v>1558</v>
      </c>
      <c r="D479" s="2" t="s">
        <v>8</v>
      </c>
      <c r="E479" s="3">
        <v>43388</v>
      </c>
      <c r="F479">
        <f t="shared" si="14"/>
        <v>10</v>
      </c>
      <c r="G479">
        <f t="shared" si="15"/>
        <v>2018</v>
      </c>
    </row>
    <row r="480" spans="1:7" x14ac:dyDescent="0.25">
      <c r="A480" s="2" t="s">
        <v>1559</v>
      </c>
      <c r="B480" s="2" t="s">
        <v>1560</v>
      </c>
      <c r="C480" s="2" t="s">
        <v>1561</v>
      </c>
      <c r="D480" s="2" t="s">
        <v>1562</v>
      </c>
      <c r="E480" s="3">
        <v>43387</v>
      </c>
      <c r="F480">
        <f t="shared" si="14"/>
        <v>10</v>
      </c>
      <c r="G480">
        <f t="shared" si="15"/>
        <v>2018</v>
      </c>
    </row>
    <row r="481" spans="1:7" ht="24" x14ac:dyDescent="0.25">
      <c r="A481" s="2" t="s">
        <v>1563</v>
      </c>
      <c r="B481" s="2" t="s">
        <v>1564</v>
      </c>
      <c r="C481" s="2" t="s">
        <v>140</v>
      </c>
      <c r="D481" s="2" t="s">
        <v>1565</v>
      </c>
      <c r="E481" s="3">
        <v>43385</v>
      </c>
      <c r="F481">
        <f t="shared" si="14"/>
        <v>10</v>
      </c>
      <c r="G481">
        <f t="shared" si="15"/>
        <v>2018</v>
      </c>
    </row>
    <row r="482" spans="1:7" x14ac:dyDescent="0.25">
      <c r="A482" s="2" t="s">
        <v>1566</v>
      </c>
      <c r="B482" s="2" t="s">
        <v>1567</v>
      </c>
      <c r="C482" s="2" t="s">
        <v>1568</v>
      </c>
      <c r="D482" s="2" t="s">
        <v>1569</v>
      </c>
      <c r="E482" s="3">
        <v>43385</v>
      </c>
      <c r="F482">
        <f t="shared" si="14"/>
        <v>10</v>
      </c>
      <c r="G482">
        <f t="shared" si="15"/>
        <v>2018</v>
      </c>
    </row>
    <row r="483" spans="1:7" x14ac:dyDescent="0.25">
      <c r="A483" s="2" t="s">
        <v>1570</v>
      </c>
      <c r="B483" s="2" t="s">
        <v>955</v>
      </c>
      <c r="C483" s="2" t="s">
        <v>140</v>
      </c>
      <c r="D483" s="2" t="s">
        <v>1571</v>
      </c>
      <c r="E483" s="3">
        <v>43385</v>
      </c>
      <c r="F483">
        <f t="shared" si="14"/>
        <v>10</v>
      </c>
      <c r="G483">
        <f t="shared" si="15"/>
        <v>2018</v>
      </c>
    </row>
    <row r="484" spans="1:7" ht="24" x14ac:dyDescent="0.25">
      <c r="A484" s="2" t="s">
        <v>1572</v>
      </c>
      <c r="B484" s="2" t="s">
        <v>1573</v>
      </c>
      <c r="C484" s="2" t="s">
        <v>1574</v>
      </c>
      <c r="D484" s="2" t="s">
        <v>1058</v>
      </c>
      <c r="E484" s="3">
        <v>43382</v>
      </c>
      <c r="F484">
        <f t="shared" si="14"/>
        <v>10</v>
      </c>
      <c r="G484">
        <f t="shared" si="15"/>
        <v>2018</v>
      </c>
    </row>
    <row r="485" spans="1:7" x14ac:dyDescent="0.25">
      <c r="A485" s="2" t="s">
        <v>1575</v>
      </c>
      <c r="B485" s="2" t="s">
        <v>1576</v>
      </c>
      <c r="C485" s="2" t="s">
        <v>1577</v>
      </c>
      <c r="D485" s="2" t="s">
        <v>1578</v>
      </c>
      <c r="E485" s="3">
        <v>43382</v>
      </c>
      <c r="F485">
        <f t="shared" si="14"/>
        <v>10</v>
      </c>
      <c r="G485">
        <f t="shared" si="15"/>
        <v>2018</v>
      </c>
    </row>
    <row r="486" spans="1:7" x14ac:dyDescent="0.25">
      <c r="A486" s="2" t="s">
        <v>967</v>
      </c>
      <c r="B486" s="2" t="s">
        <v>978</v>
      </c>
      <c r="C486" s="2" t="s">
        <v>1579</v>
      </c>
      <c r="D486" s="2" t="s">
        <v>476</v>
      </c>
      <c r="E486" s="3">
        <v>43382</v>
      </c>
      <c r="F486">
        <f t="shared" si="14"/>
        <v>10</v>
      </c>
      <c r="G486">
        <f t="shared" si="15"/>
        <v>2018</v>
      </c>
    </row>
    <row r="487" spans="1:7" ht="24" x14ac:dyDescent="0.25">
      <c r="A487" s="2" t="s">
        <v>1580</v>
      </c>
      <c r="B487" s="2" t="s">
        <v>1581</v>
      </c>
      <c r="C487" s="2" t="s">
        <v>1582</v>
      </c>
      <c r="D487" s="2" t="s">
        <v>1583</v>
      </c>
      <c r="E487" s="3">
        <v>43381</v>
      </c>
      <c r="F487">
        <f t="shared" si="14"/>
        <v>10</v>
      </c>
      <c r="G487">
        <f t="shared" si="15"/>
        <v>2018</v>
      </c>
    </row>
    <row r="488" spans="1:7" x14ac:dyDescent="0.25">
      <c r="A488" s="2" t="s">
        <v>705</v>
      </c>
      <c r="B488" s="2" t="s">
        <v>1584</v>
      </c>
      <c r="C488" s="2" t="s">
        <v>1585</v>
      </c>
      <c r="D488" s="2" t="s">
        <v>963</v>
      </c>
      <c r="E488" s="3">
        <v>43381</v>
      </c>
      <c r="F488">
        <f t="shared" si="14"/>
        <v>10</v>
      </c>
      <c r="G488">
        <f t="shared" si="15"/>
        <v>2018</v>
      </c>
    </row>
    <row r="489" spans="1:7" x14ac:dyDescent="0.25">
      <c r="A489" s="2" t="s">
        <v>1586</v>
      </c>
      <c r="B489" s="2" t="s">
        <v>1587</v>
      </c>
      <c r="C489" s="2" t="s">
        <v>11</v>
      </c>
      <c r="D489" s="2" t="s">
        <v>1588</v>
      </c>
      <c r="E489" s="3">
        <v>43381</v>
      </c>
      <c r="F489">
        <f t="shared" si="14"/>
        <v>10</v>
      </c>
      <c r="G489">
        <f t="shared" si="15"/>
        <v>2018</v>
      </c>
    </row>
    <row r="490" spans="1:7" x14ac:dyDescent="0.25">
      <c r="A490" s="2" t="s">
        <v>1589</v>
      </c>
      <c r="B490" s="2" t="s">
        <v>1590</v>
      </c>
      <c r="C490" s="2" t="s">
        <v>1591</v>
      </c>
      <c r="D490" s="2" t="s">
        <v>1592</v>
      </c>
      <c r="E490" s="3">
        <v>43381</v>
      </c>
      <c r="F490">
        <f t="shared" si="14"/>
        <v>10</v>
      </c>
      <c r="G490">
        <f t="shared" si="15"/>
        <v>2018</v>
      </c>
    </row>
    <row r="491" spans="1:7" x14ac:dyDescent="0.25">
      <c r="A491" s="2" t="s">
        <v>1593</v>
      </c>
      <c r="B491" s="2" t="s">
        <v>1594</v>
      </c>
      <c r="C491" s="2" t="s">
        <v>1595</v>
      </c>
      <c r="D491" s="2" t="s">
        <v>1596</v>
      </c>
      <c r="E491" s="3">
        <v>43379</v>
      </c>
      <c r="F491">
        <f t="shared" si="14"/>
        <v>10</v>
      </c>
      <c r="G491">
        <f t="shared" si="15"/>
        <v>2018</v>
      </c>
    </row>
    <row r="492" spans="1:7" x14ac:dyDescent="0.25">
      <c r="A492" s="2" t="s">
        <v>1597</v>
      </c>
      <c r="B492" s="2" t="s">
        <v>696</v>
      </c>
      <c r="C492" s="2" t="s">
        <v>1598</v>
      </c>
      <c r="D492" s="2" t="s">
        <v>8</v>
      </c>
      <c r="E492" s="3">
        <v>43378</v>
      </c>
      <c r="F492">
        <f t="shared" si="14"/>
        <v>10</v>
      </c>
      <c r="G492">
        <f t="shared" si="15"/>
        <v>2018</v>
      </c>
    </row>
    <row r="493" spans="1:7" x14ac:dyDescent="0.25">
      <c r="A493" s="2" t="s">
        <v>1599</v>
      </c>
      <c r="B493" s="2" t="s">
        <v>1600</v>
      </c>
      <c r="C493" s="2" t="s">
        <v>1601</v>
      </c>
      <c r="D493" s="2" t="s">
        <v>1602</v>
      </c>
      <c r="E493" s="3">
        <v>43377</v>
      </c>
      <c r="F493">
        <f t="shared" si="14"/>
        <v>10</v>
      </c>
      <c r="G493">
        <f t="shared" si="15"/>
        <v>2018</v>
      </c>
    </row>
    <row r="494" spans="1:7" x14ac:dyDescent="0.25">
      <c r="A494" s="2" t="s">
        <v>1603</v>
      </c>
      <c r="B494" s="2" t="s">
        <v>1604</v>
      </c>
      <c r="C494" s="2" t="s">
        <v>1605</v>
      </c>
      <c r="D494" s="2" t="s">
        <v>1606</v>
      </c>
      <c r="E494" s="3">
        <v>43375</v>
      </c>
      <c r="F494">
        <f t="shared" si="14"/>
        <v>10</v>
      </c>
      <c r="G494">
        <f t="shared" si="15"/>
        <v>2018</v>
      </c>
    </row>
    <row r="495" spans="1:7" x14ac:dyDescent="0.25">
      <c r="A495" s="2" t="s">
        <v>1607</v>
      </c>
      <c r="B495" s="2" t="s">
        <v>68</v>
      </c>
      <c r="C495" s="2" t="s">
        <v>1608</v>
      </c>
      <c r="D495" s="2" t="s">
        <v>1609</v>
      </c>
      <c r="E495" s="3">
        <v>43374</v>
      </c>
      <c r="F495">
        <f t="shared" si="14"/>
        <v>10</v>
      </c>
      <c r="G495">
        <f t="shared" si="15"/>
        <v>2018</v>
      </c>
    </row>
    <row r="496" spans="1:7" x14ac:dyDescent="0.25">
      <c r="A496" s="2" t="s">
        <v>1610</v>
      </c>
      <c r="B496" s="2" t="s">
        <v>1611</v>
      </c>
      <c r="C496" s="2" t="s">
        <v>1612</v>
      </c>
      <c r="D496" s="2" t="s">
        <v>1613</v>
      </c>
      <c r="E496" s="3">
        <v>43374</v>
      </c>
      <c r="F496">
        <f t="shared" si="14"/>
        <v>10</v>
      </c>
      <c r="G496">
        <f t="shared" si="15"/>
        <v>2018</v>
      </c>
    </row>
    <row r="497" spans="1:7" x14ac:dyDescent="0.25">
      <c r="A497" s="2" t="s">
        <v>1614</v>
      </c>
      <c r="B497" s="2" t="s">
        <v>1615</v>
      </c>
      <c r="C497" s="2" t="s">
        <v>965</v>
      </c>
      <c r="D497" s="2" t="s">
        <v>1616</v>
      </c>
      <c r="E497" s="3">
        <v>43374</v>
      </c>
      <c r="F497">
        <f t="shared" si="14"/>
        <v>10</v>
      </c>
      <c r="G497">
        <f t="shared" si="15"/>
        <v>2018</v>
      </c>
    </row>
    <row r="498" spans="1:7" x14ac:dyDescent="0.25">
      <c r="A498" s="2" t="s">
        <v>499</v>
      </c>
      <c r="B498" s="2" t="s">
        <v>1199</v>
      </c>
      <c r="C498" s="2" t="s">
        <v>1617</v>
      </c>
      <c r="D498" s="2" t="s">
        <v>1618</v>
      </c>
      <c r="E498" s="3">
        <v>43374</v>
      </c>
      <c r="F498">
        <f t="shared" si="14"/>
        <v>10</v>
      </c>
      <c r="G498">
        <f t="shared" si="15"/>
        <v>2018</v>
      </c>
    </row>
    <row r="499" spans="1:7" x14ac:dyDescent="0.25">
      <c r="A499" s="2" t="s">
        <v>1619</v>
      </c>
      <c r="B499" s="2" t="s">
        <v>1620</v>
      </c>
      <c r="C499" s="2" t="s">
        <v>410</v>
      </c>
      <c r="D499" s="2" t="s">
        <v>168</v>
      </c>
      <c r="E499" s="3">
        <v>43372</v>
      </c>
      <c r="F499">
        <f t="shared" si="14"/>
        <v>9</v>
      </c>
      <c r="G499">
        <f t="shared" si="15"/>
        <v>2018</v>
      </c>
    </row>
    <row r="500" spans="1:7" x14ac:dyDescent="0.25">
      <c r="A500" s="2" t="s">
        <v>1621</v>
      </c>
      <c r="B500" s="2" t="s">
        <v>1622</v>
      </c>
      <c r="C500" s="2" t="s">
        <v>23</v>
      </c>
      <c r="D500" s="2" t="s">
        <v>168</v>
      </c>
      <c r="E500" s="3">
        <v>43370</v>
      </c>
      <c r="F500">
        <f t="shared" si="14"/>
        <v>9</v>
      </c>
      <c r="G500">
        <f t="shared" si="15"/>
        <v>2018</v>
      </c>
    </row>
    <row r="501" spans="1:7" x14ac:dyDescent="0.25">
      <c r="A501" s="2" t="s">
        <v>1623</v>
      </c>
      <c r="B501" s="2" t="s">
        <v>1624</v>
      </c>
      <c r="C501" s="2" t="s">
        <v>1625</v>
      </c>
      <c r="D501" s="2" t="s">
        <v>1626</v>
      </c>
      <c r="E501" s="3">
        <v>43369</v>
      </c>
      <c r="F501">
        <f t="shared" si="14"/>
        <v>9</v>
      </c>
      <c r="G501">
        <f t="shared" si="15"/>
        <v>2018</v>
      </c>
    </row>
    <row r="502" spans="1:7" x14ac:dyDescent="0.25">
      <c r="A502" s="2" t="s">
        <v>1627</v>
      </c>
      <c r="B502" s="2" t="s">
        <v>1628</v>
      </c>
      <c r="C502" s="2" t="s">
        <v>1629</v>
      </c>
      <c r="D502" s="2" t="s">
        <v>256</v>
      </c>
      <c r="E502" s="3">
        <v>43369</v>
      </c>
      <c r="F502">
        <f t="shared" si="14"/>
        <v>9</v>
      </c>
      <c r="G502">
        <f t="shared" si="15"/>
        <v>2018</v>
      </c>
    </row>
    <row r="503" spans="1:7" x14ac:dyDescent="0.25">
      <c r="A503" s="2" t="s">
        <v>1630</v>
      </c>
      <c r="B503" s="2" t="s">
        <v>1631</v>
      </c>
      <c r="C503" s="2" t="s">
        <v>501</v>
      </c>
      <c r="D503" s="2" t="s">
        <v>191</v>
      </c>
      <c r="E503" s="3">
        <v>43368</v>
      </c>
      <c r="F503">
        <f t="shared" si="14"/>
        <v>9</v>
      </c>
      <c r="G503">
        <f t="shared" si="15"/>
        <v>2018</v>
      </c>
    </row>
    <row r="504" spans="1:7" x14ac:dyDescent="0.25">
      <c r="A504" s="2" t="s">
        <v>565</v>
      </c>
      <c r="B504" s="2" t="s">
        <v>1632</v>
      </c>
      <c r="C504" s="2" t="s">
        <v>1633</v>
      </c>
      <c r="D504" s="2" t="s">
        <v>1634</v>
      </c>
      <c r="E504" s="3">
        <v>43367</v>
      </c>
      <c r="F504">
        <f t="shared" si="14"/>
        <v>9</v>
      </c>
      <c r="G504">
        <f t="shared" si="15"/>
        <v>2018</v>
      </c>
    </row>
    <row r="505" spans="1:7" x14ac:dyDescent="0.25">
      <c r="A505" s="2" t="s">
        <v>1635</v>
      </c>
      <c r="B505" s="2" t="s">
        <v>1636</v>
      </c>
      <c r="C505" s="2" t="s">
        <v>1637</v>
      </c>
      <c r="D505" s="2" t="s">
        <v>1638</v>
      </c>
      <c r="E505" s="3">
        <v>43363</v>
      </c>
      <c r="F505">
        <f t="shared" si="14"/>
        <v>9</v>
      </c>
      <c r="G505">
        <f t="shared" si="15"/>
        <v>2018</v>
      </c>
    </row>
    <row r="506" spans="1:7" x14ac:dyDescent="0.25">
      <c r="A506" s="2" t="s">
        <v>1639</v>
      </c>
      <c r="B506" s="2" t="s">
        <v>1640</v>
      </c>
      <c r="C506" s="2" t="s">
        <v>1641</v>
      </c>
      <c r="D506" s="2" t="s">
        <v>1642</v>
      </c>
      <c r="E506" s="3">
        <v>43362</v>
      </c>
      <c r="F506">
        <f t="shared" si="14"/>
        <v>9</v>
      </c>
      <c r="G506">
        <f t="shared" si="15"/>
        <v>2018</v>
      </c>
    </row>
    <row r="507" spans="1:7" x14ac:dyDescent="0.25">
      <c r="A507" s="2" t="s">
        <v>1643</v>
      </c>
      <c r="B507" s="2" t="s">
        <v>1644</v>
      </c>
      <c r="C507" s="2" t="s">
        <v>1645</v>
      </c>
      <c r="D507" s="2" t="s">
        <v>1646</v>
      </c>
      <c r="E507" s="3">
        <v>43361</v>
      </c>
      <c r="F507">
        <f t="shared" si="14"/>
        <v>9</v>
      </c>
      <c r="G507">
        <f t="shared" si="15"/>
        <v>2018</v>
      </c>
    </row>
    <row r="508" spans="1:7" x14ac:dyDescent="0.25">
      <c r="A508" s="2" t="s">
        <v>1647</v>
      </c>
      <c r="B508" s="2" t="s">
        <v>381</v>
      </c>
      <c r="C508" s="2" t="s">
        <v>576</v>
      </c>
      <c r="D508" s="2" t="s">
        <v>1648</v>
      </c>
      <c r="E508" s="3">
        <v>43361</v>
      </c>
      <c r="F508">
        <f t="shared" si="14"/>
        <v>9</v>
      </c>
      <c r="G508">
        <f t="shared" si="15"/>
        <v>2018</v>
      </c>
    </row>
    <row r="509" spans="1:7" x14ac:dyDescent="0.25">
      <c r="A509" s="2" t="s">
        <v>513</v>
      </c>
      <c r="B509" s="2" t="s">
        <v>1649</v>
      </c>
      <c r="C509" s="2" t="s">
        <v>1650</v>
      </c>
      <c r="D509" s="2" t="s">
        <v>1651</v>
      </c>
      <c r="E509" s="3">
        <v>43361</v>
      </c>
      <c r="F509">
        <f t="shared" si="14"/>
        <v>9</v>
      </c>
      <c r="G509">
        <f t="shared" si="15"/>
        <v>2018</v>
      </c>
    </row>
    <row r="510" spans="1:7" ht="24" x14ac:dyDescent="0.25">
      <c r="A510" s="2" t="s">
        <v>1652</v>
      </c>
      <c r="B510" s="2" t="s">
        <v>1653</v>
      </c>
      <c r="C510" s="2" t="s">
        <v>1654</v>
      </c>
      <c r="D510" s="2" t="s">
        <v>8</v>
      </c>
      <c r="E510" s="3">
        <v>43360</v>
      </c>
      <c r="F510">
        <f t="shared" si="14"/>
        <v>9</v>
      </c>
      <c r="G510">
        <f t="shared" si="15"/>
        <v>2018</v>
      </c>
    </row>
    <row r="511" spans="1:7" x14ac:dyDescent="0.25">
      <c r="A511" s="2" t="s">
        <v>1655</v>
      </c>
      <c r="B511" s="2" t="s">
        <v>1656</v>
      </c>
      <c r="C511" s="2" t="s">
        <v>1657</v>
      </c>
      <c r="D511" s="2" t="s">
        <v>1658</v>
      </c>
      <c r="E511" s="3">
        <v>43360</v>
      </c>
      <c r="F511">
        <f t="shared" si="14"/>
        <v>9</v>
      </c>
      <c r="G511">
        <f t="shared" si="15"/>
        <v>2018</v>
      </c>
    </row>
    <row r="512" spans="1:7" x14ac:dyDescent="0.25">
      <c r="A512" s="2" t="s">
        <v>1659</v>
      </c>
      <c r="B512" s="2" t="s">
        <v>1660</v>
      </c>
      <c r="C512" s="2" t="s">
        <v>1661</v>
      </c>
      <c r="D512" s="2" t="s">
        <v>1662</v>
      </c>
      <c r="E512" s="3">
        <v>43357</v>
      </c>
      <c r="F512">
        <f t="shared" si="14"/>
        <v>9</v>
      </c>
      <c r="G512">
        <f t="shared" si="15"/>
        <v>2018</v>
      </c>
    </row>
    <row r="513" spans="1:7" x14ac:dyDescent="0.25">
      <c r="A513" s="2" t="s">
        <v>506</v>
      </c>
      <c r="B513" s="2" t="s">
        <v>1663</v>
      </c>
      <c r="C513" s="2" t="s">
        <v>1664</v>
      </c>
      <c r="D513" s="2" t="s">
        <v>1665</v>
      </c>
      <c r="E513" s="3">
        <v>43356</v>
      </c>
      <c r="F513">
        <f t="shared" si="14"/>
        <v>9</v>
      </c>
      <c r="G513">
        <f t="shared" si="15"/>
        <v>2018</v>
      </c>
    </row>
    <row r="514" spans="1:7" x14ac:dyDescent="0.25">
      <c r="A514" s="2" t="s">
        <v>1666</v>
      </c>
      <c r="B514" s="2" t="s">
        <v>1667</v>
      </c>
      <c r="C514" s="2" t="s">
        <v>1668</v>
      </c>
      <c r="D514" s="2" t="s">
        <v>1669</v>
      </c>
      <c r="E514" s="3">
        <v>43356</v>
      </c>
      <c r="F514">
        <f t="shared" si="14"/>
        <v>9</v>
      </c>
      <c r="G514">
        <f t="shared" si="15"/>
        <v>2018</v>
      </c>
    </row>
    <row r="515" spans="1:7" x14ac:dyDescent="0.25">
      <c r="A515" s="2" t="s">
        <v>1670</v>
      </c>
      <c r="B515" s="2" t="s">
        <v>1671</v>
      </c>
      <c r="C515" s="2" t="s">
        <v>140</v>
      </c>
      <c r="D515" s="2" t="s">
        <v>1672</v>
      </c>
      <c r="E515" s="3">
        <v>43356</v>
      </c>
      <c r="F515">
        <f t="shared" ref="F515:F578" si="16">MONTH(E515)</f>
        <v>9</v>
      </c>
      <c r="G515">
        <f t="shared" ref="G515:G578" si="17">YEAR(E515)</f>
        <v>2018</v>
      </c>
    </row>
    <row r="516" spans="1:7" x14ac:dyDescent="0.25">
      <c r="A516" s="2" t="s">
        <v>1673</v>
      </c>
      <c r="B516" s="2" t="s">
        <v>1674</v>
      </c>
      <c r="C516" s="2" t="s">
        <v>91</v>
      </c>
      <c r="D516" s="2" t="s">
        <v>1675</v>
      </c>
      <c r="E516" s="3">
        <v>43356</v>
      </c>
      <c r="F516">
        <f t="shared" si="16"/>
        <v>9</v>
      </c>
      <c r="G516">
        <f t="shared" si="17"/>
        <v>2018</v>
      </c>
    </row>
    <row r="517" spans="1:7" x14ac:dyDescent="0.25">
      <c r="A517" s="2" t="s">
        <v>1676</v>
      </c>
      <c r="B517" s="2" t="s">
        <v>687</v>
      </c>
      <c r="C517" s="2" t="s">
        <v>1677</v>
      </c>
      <c r="D517" s="2" t="s">
        <v>1678</v>
      </c>
      <c r="E517" s="3">
        <v>43355</v>
      </c>
      <c r="F517">
        <f t="shared" si="16"/>
        <v>9</v>
      </c>
      <c r="G517">
        <f t="shared" si="17"/>
        <v>2018</v>
      </c>
    </row>
    <row r="518" spans="1:7" x14ac:dyDescent="0.25">
      <c r="A518" s="2" t="s">
        <v>818</v>
      </c>
      <c r="B518" s="2" t="s">
        <v>478</v>
      </c>
      <c r="C518" s="2" t="s">
        <v>1679</v>
      </c>
      <c r="D518" s="2" t="s">
        <v>1680</v>
      </c>
      <c r="E518" s="3">
        <v>43355</v>
      </c>
      <c r="F518">
        <f t="shared" si="16"/>
        <v>9</v>
      </c>
      <c r="G518">
        <f t="shared" si="17"/>
        <v>2018</v>
      </c>
    </row>
    <row r="519" spans="1:7" x14ac:dyDescent="0.25">
      <c r="A519" s="2" t="s">
        <v>1681</v>
      </c>
      <c r="B519" s="2" t="s">
        <v>232</v>
      </c>
      <c r="C519" s="2" t="s">
        <v>1682</v>
      </c>
      <c r="D519" s="2" t="s">
        <v>1683</v>
      </c>
      <c r="E519" s="3">
        <v>43355</v>
      </c>
      <c r="F519">
        <f t="shared" si="16"/>
        <v>9</v>
      </c>
      <c r="G519">
        <f t="shared" si="17"/>
        <v>2018</v>
      </c>
    </row>
    <row r="520" spans="1:7" x14ac:dyDescent="0.25">
      <c r="A520" s="2" t="s">
        <v>1684</v>
      </c>
      <c r="B520" s="2" t="s">
        <v>1685</v>
      </c>
      <c r="C520" s="2" t="s">
        <v>576</v>
      </c>
      <c r="D520" s="2" t="s">
        <v>1686</v>
      </c>
      <c r="E520" s="3">
        <v>43355</v>
      </c>
      <c r="F520">
        <f t="shared" si="16"/>
        <v>9</v>
      </c>
      <c r="G520">
        <f t="shared" si="17"/>
        <v>2018</v>
      </c>
    </row>
    <row r="521" spans="1:7" x14ac:dyDescent="0.25">
      <c r="A521" s="2" t="s">
        <v>169</v>
      </c>
      <c r="B521" s="2" t="s">
        <v>1687</v>
      </c>
      <c r="C521" s="2" t="s">
        <v>1688</v>
      </c>
      <c r="D521" s="2" t="s">
        <v>51</v>
      </c>
      <c r="E521" s="3">
        <v>43355</v>
      </c>
      <c r="F521">
        <f t="shared" si="16"/>
        <v>9</v>
      </c>
      <c r="G521">
        <f t="shared" si="17"/>
        <v>2018</v>
      </c>
    </row>
    <row r="522" spans="1:7" x14ac:dyDescent="0.25">
      <c r="A522" s="2" t="s">
        <v>1689</v>
      </c>
      <c r="B522" s="2" t="s">
        <v>1690</v>
      </c>
      <c r="C522" s="2" t="s">
        <v>1691</v>
      </c>
      <c r="D522" s="2" t="s">
        <v>533</v>
      </c>
      <c r="E522" s="3">
        <v>43355</v>
      </c>
      <c r="F522">
        <f t="shared" si="16"/>
        <v>9</v>
      </c>
      <c r="G522">
        <f t="shared" si="17"/>
        <v>2018</v>
      </c>
    </row>
    <row r="523" spans="1:7" ht="24" x14ac:dyDescent="0.25">
      <c r="A523" s="2" t="s">
        <v>1692</v>
      </c>
      <c r="B523" s="2" t="s">
        <v>1581</v>
      </c>
      <c r="C523" s="2" t="s">
        <v>1693</v>
      </c>
      <c r="D523" s="2" t="s">
        <v>1694</v>
      </c>
      <c r="E523" s="3">
        <v>43355</v>
      </c>
      <c r="F523">
        <f t="shared" si="16"/>
        <v>9</v>
      </c>
      <c r="G523">
        <f t="shared" si="17"/>
        <v>2018</v>
      </c>
    </row>
    <row r="524" spans="1:7" x14ac:dyDescent="0.25">
      <c r="A524" s="2" t="s">
        <v>1695</v>
      </c>
      <c r="B524" s="2" t="s">
        <v>295</v>
      </c>
      <c r="C524" s="2" t="s">
        <v>1696</v>
      </c>
      <c r="D524" s="2" t="s">
        <v>1697</v>
      </c>
      <c r="E524" s="3">
        <v>43354</v>
      </c>
      <c r="F524">
        <f t="shared" si="16"/>
        <v>9</v>
      </c>
      <c r="G524">
        <f t="shared" si="17"/>
        <v>2018</v>
      </c>
    </row>
    <row r="525" spans="1:7" x14ac:dyDescent="0.25">
      <c r="A525" s="2" t="s">
        <v>1698</v>
      </c>
      <c r="B525" s="2" t="s">
        <v>1699</v>
      </c>
      <c r="C525" s="2" t="s">
        <v>1700</v>
      </c>
      <c r="D525" s="2" t="s">
        <v>1701</v>
      </c>
      <c r="E525" s="3">
        <v>43354</v>
      </c>
      <c r="F525">
        <f t="shared" si="16"/>
        <v>9</v>
      </c>
      <c r="G525">
        <f t="shared" si="17"/>
        <v>2018</v>
      </c>
    </row>
    <row r="526" spans="1:7" x14ac:dyDescent="0.25">
      <c r="A526" s="2" t="s">
        <v>1702</v>
      </c>
      <c r="B526" s="2" t="s">
        <v>1703</v>
      </c>
      <c r="C526" s="2" t="s">
        <v>1704</v>
      </c>
      <c r="D526" s="2" t="s">
        <v>1705</v>
      </c>
      <c r="E526" s="3">
        <v>43354</v>
      </c>
      <c r="F526">
        <f t="shared" si="16"/>
        <v>9</v>
      </c>
      <c r="G526">
        <f t="shared" si="17"/>
        <v>2018</v>
      </c>
    </row>
    <row r="527" spans="1:7" x14ac:dyDescent="0.25">
      <c r="A527" s="2" t="s">
        <v>1706</v>
      </c>
      <c r="B527" s="2" t="s">
        <v>1707</v>
      </c>
      <c r="C527" s="2" t="s">
        <v>27</v>
      </c>
      <c r="D527" s="2" t="s">
        <v>1708</v>
      </c>
      <c r="E527" s="3">
        <v>43354</v>
      </c>
      <c r="F527">
        <f t="shared" si="16"/>
        <v>9</v>
      </c>
      <c r="G527">
        <f t="shared" si="17"/>
        <v>2018</v>
      </c>
    </row>
    <row r="528" spans="1:7" x14ac:dyDescent="0.25">
      <c r="A528" s="2" t="s">
        <v>382</v>
      </c>
      <c r="B528" s="2" t="s">
        <v>1709</v>
      </c>
      <c r="C528" s="2" t="s">
        <v>1710</v>
      </c>
      <c r="D528" s="2" t="s">
        <v>1711</v>
      </c>
      <c r="E528" s="3">
        <v>43354</v>
      </c>
      <c r="F528">
        <f t="shared" si="16"/>
        <v>9</v>
      </c>
      <c r="G528">
        <f t="shared" si="17"/>
        <v>2018</v>
      </c>
    </row>
    <row r="529" spans="1:7" ht="24" x14ac:dyDescent="0.25">
      <c r="A529" s="2" t="s">
        <v>197</v>
      </c>
      <c r="B529" s="2" t="s">
        <v>1712</v>
      </c>
      <c r="C529" s="2" t="s">
        <v>1713</v>
      </c>
      <c r="D529" s="2" t="s">
        <v>1714</v>
      </c>
      <c r="E529" s="3">
        <v>43353</v>
      </c>
      <c r="F529">
        <f t="shared" si="16"/>
        <v>9</v>
      </c>
      <c r="G529">
        <f t="shared" si="17"/>
        <v>2018</v>
      </c>
    </row>
    <row r="530" spans="1:7" x14ac:dyDescent="0.25">
      <c r="A530" s="2" t="s">
        <v>1607</v>
      </c>
      <c r="B530" s="2" t="s">
        <v>101</v>
      </c>
      <c r="C530" s="2" t="s">
        <v>1715</v>
      </c>
      <c r="D530" s="2" t="s">
        <v>1716</v>
      </c>
      <c r="E530" s="3">
        <v>43353</v>
      </c>
      <c r="F530">
        <f t="shared" si="16"/>
        <v>9</v>
      </c>
      <c r="G530">
        <f t="shared" si="17"/>
        <v>2018</v>
      </c>
    </row>
    <row r="531" spans="1:7" x14ac:dyDescent="0.25">
      <c r="A531" s="2" t="s">
        <v>1717</v>
      </c>
      <c r="B531" s="2" t="s">
        <v>1718</v>
      </c>
      <c r="C531" s="2" t="s">
        <v>1719</v>
      </c>
      <c r="D531" s="2" t="s">
        <v>1298</v>
      </c>
      <c r="E531" s="3">
        <v>43351</v>
      </c>
      <c r="F531">
        <f t="shared" si="16"/>
        <v>9</v>
      </c>
      <c r="G531">
        <f t="shared" si="17"/>
        <v>2018</v>
      </c>
    </row>
    <row r="532" spans="1:7" x14ac:dyDescent="0.25">
      <c r="A532" s="2" t="s">
        <v>1720</v>
      </c>
      <c r="B532" s="2" t="s">
        <v>1572</v>
      </c>
      <c r="C532" s="2" t="s">
        <v>1721</v>
      </c>
      <c r="D532" s="2" t="s">
        <v>8</v>
      </c>
      <c r="E532" s="3">
        <v>43350</v>
      </c>
      <c r="F532">
        <f t="shared" si="16"/>
        <v>9</v>
      </c>
      <c r="G532">
        <f t="shared" si="17"/>
        <v>2018</v>
      </c>
    </row>
    <row r="533" spans="1:7" x14ac:dyDescent="0.25">
      <c r="A533" s="2" t="s">
        <v>115</v>
      </c>
      <c r="B533" s="2" t="s">
        <v>232</v>
      </c>
      <c r="C533" s="2" t="s">
        <v>1722</v>
      </c>
      <c r="D533" s="2" t="s">
        <v>1723</v>
      </c>
      <c r="E533" s="3">
        <v>43350</v>
      </c>
      <c r="F533">
        <f t="shared" si="16"/>
        <v>9</v>
      </c>
      <c r="G533">
        <f t="shared" si="17"/>
        <v>2018</v>
      </c>
    </row>
    <row r="534" spans="1:7" x14ac:dyDescent="0.25">
      <c r="A534" s="2" t="s">
        <v>1290</v>
      </c>
      <c r="B534" s="2" t="s">
        <v>1724</v>
      </c>
      <c r="C534" s="2" t="s">
        <v>1725</v>
      </c>
      <c r="D534" s="2" t="s">
        <v>1726</v>
      </c>
      <c r="E534" s="3">
        <v>43349</v>
      </c>
      <c r="F534">
        <f t="shared" si="16"/>
        <v>9</v>
      </c>
      <c r="G534">
        <f t="shared" si="17"/>
        <v>2018</v>
      </c>
    </row>
    <row r="535" spans="1:7" x14ac:dyDescent="0.25">
      <c r="A535" s="2" t="s">
        <v>1727</v>
      </c>
      <c r="B535" s="2" t="s">
        <v>1728</v>
      </c>
      <c r="C535" s="2" t="s">
        <v>1729</v>
      </c>
      <c r="D535" s="2" t="s">
        <v>1730</v>
      </c>
      <c r="E535" s="3">
        <v>43349</v>
      </c>
      <c r="F535">
        <f t="shared" si="16"/>
        <v>9</v>
      </c>
      <c r="G535">
        <f t="shared" si="17"/>
        <v>2018</v>
      </c>
    </row>
    <row r="536" spans="1:7" x14ac:dyDescent="0.25">
      <c r="A536" s="2" t="s">
        <v>1731</v>
      </c>
      <c r="B536" s="2" t="s">
        <v>1732</v>
      </c>
      <c r="C536" s="2" t="s">
        <v>1733</v>
      </c>
      <c r="D536" s="2" t="s">
        <v>256</v>
      </c>
      <c r="E536" s="3">
        <v>43349</v>
      </c>
      <c r="F536">
        <f t="shared" si="16"/>
        <v>9</v>
      </c>
      <c r="G536">
        <f t="shared" si="17"/>
        <v>2018</v>
      </c>
    </row>
    <row r="537" spans="1:7" x14ac:dyDescent="0.25">
      <c r="A537" s="2" t="s">
        <v>1734</v>
      </c>
      <c r="B537" s="2" t="s">
        <v>1581</v>
      </c>
      <c r="C537" s="2" t="s">
        <v>1735</v>
      </c>
      <c r="D537" s="2" t="s">
        <v>8</v>
      </c>
      <c r="E537" s="3">
        <v>43349</v>
      </c>
      <c r="F537">
        <f t="shared" si="16"/>
        <v>9</v>
      </c>
      <c r="G537">
        <f t="shared" si="17"/>
        <v>2018</v>
      </c>
    </row>
    <row r="538" spans="1:7" x14ac:dyDescent="0.25">
      <c r="A538" s="2" t="s">
        <v>690</v>
      </c>
      <c r="B538" s="2" t="s">
        <v>535</v>
      </c>
      <c r="C538" s="2" t="s">
        <v>1736</v>
      </c>
      <c r="D538" s="2" t="s">
        <v>8</v>
      </c>
      <c r="E538" s="3">
        <v>43349</v>
      </c>
      <c r="F538">
        <f t="shared" si="16"/>
        <v>9</v>
      </c>
      <c r="G538">
        <f t="shared" si="17"/>
        <v>2018</v>
      </c>
    </row>
    <row r="539" spans="1:7" x14ac:dyDescent="0.25">
      <c r="A539" s="2" t="s">
        <v>1737</v>
      </c>
      <c r="B539" s="2" t="s">
        <v>1738</v>
      </c>
      <c r="C539" s="2" t="s">
        <v>1739</v>
      </c>
      <c r="D539" s="2" t="s">
        <v>193</v>
      </c>
      <c r="E539" s="3">
        <v>43349</v>
      </c>
      <c r="F539">
        <f t="shared" si="16"/>
        <v>9</v>
      </c>
      <c r="G539">
        <f t="shared" si="17"/>
        <v>2018</v>
      </c>
    </row>
    <row r="540" spans="1:7" x14ac:dyDescent="0.25">
      <c r="A540" s="2" t="s">
        <v>1740</v>
      </c>
      <c r="B540" s="2" t="s">
        <v>1741</v>
      </c>
      <c r="C540" s="2" t="s">
        <v>1742</v>
      </c>
      <c r="D540" s="2" t="s">
        <v>1743</v>
      </c>
      <c r="E540" s="3">
        <v>43349</v>
      </c>
      <c r="F540">
        <f t="shared" si="16"/>
        <v>9</v>
      </c>
      <c r="G540">
        <f t="shared" si="17"/>
        <v>2018</v>
      </c>
    </row>
    <row r="541" spans="1:7" x14ac:dyDescent="0.25">
      <c r="A541" s="2" t="s">
        <v>1744</v>
      </c>
      <c r="B541" s="2" t="s">
        <v>1745</v>
      </c>
      <c r="C541" s="2" t="s">
        <v>57</v>
      </c>
      <c r="D541" s="2" t="s">
        <v>1746</v>
      </c>
      <c r="E541" s="3">
        <v>43348</v>
      </c>
      <c r="F541">
        <f t="shared" si="16"/>
        <v>9</v>
      </c>
      <c r="G541">
        <f t="shared" si="17"/>
        <v>2018</v>
      </c>
    </row>
    <row r="542" spans="1:7" ht="24" x14ac:dyDescent="0.25">
      <c r="A542" s="2" t="s">
        <v>1747</v>
      </c>
      <c r="B542" s="2" t="s">
        <v>1748</v>
      </c>
      <c r="C542" s="2" t="s">
        <v>1749</v>
      </c>
      <c r="D542" s="2" t="s">
        <v>1750</v>
      </c>
      <c r="E542" s="3">
        <v>43348</v>
      </c>
      <c r="F542">
        <f t="shared" si="16"/>
        <v>9</v>
      </c>
      <c r="G542">
        <f t="shared" si="17"/>
        <v>2018</v>
      </c>
    </row>
    <row r="543" spans="1:7" x14ac:dyDescent="0.25">
      <c r="A543" s="2" t="s">
        <v>1751</v>
      </c>
      <c r="B543" s="2" t="s">
        <v>1752</v>
      </c>
      <c r="C543" s="2" t="s">
        <v>174</v>
      </c>
      <c r="D543" s="2" t="s">
        <v>1753</v>
      </c>
      <c r="E543" s="3">
        <v>43348</v>
      </c>
      <c r="F543">
        <f t="shared" si="16"/>
        <v>9</v>
      </c>
      <c r="G543">
        <f t="shared" si="17"/>
        <v>2018</v>
      </c>
    </row>
    <row r="544" spans="1:7" x14ac:dyDescent="0.25">
      <c r="A544" s="2" t="s">
        <v>1754</v>
      </c>
      <c r="B544" s="2" t="s">
        <v>1755</v>
      </c>
      <c r="C544" s="2" t="s">
        <v>38</v>
      </c>
      <c r="D544" s="2" t="s">
        <v>311</v>
      </c>
      <c r="E544" s="3">
        <v>43347</v>
      </c>
      <c r="F544">
        <f t="shared" si="16"/>
        <v>9</v>
      </c>
      <c r="G544">
        <f t="shared" si="17"/>
        <v>2018</v>
      </c>
    </row>
    <row r="545" spans="1:7" x14ac:dyDescent="0.25">
      <c r="A545" s="2" t="s">
        <v>1756</v>
      </c>
      <c r="B545" s="2" t="s">
        <v>1757</v>
      </c>
      <c r="C545" s="2" t="s">
        <v>274</v>
      </c>
      <c r="D545" s="2" t="s">
        <v>1758</v>
      </c>
      <c r="E545" s="3">
        <v>43347</v>
      </c>
      <c r="F545">
        <f t="shared" si="16"/>
        <v>9</v>
      </c>
      <c r="G545">
        <f t="shared" si="17"/>
        <v>2018</v>
      </c>
    </row>
    <row r="546" spans="1:7" x14ac:dyDescent="0.25">
      <c r="A546" s="2" t="s">
        <v>1759</v>
      </c>
      <c r="B546" s="2" t="s">
        <v>1622</v>
      </c>
      <c r="C546" s="2" t="s">
        <v>1760</v>
      </c>
      <c r="D546" s="2" t="s">
        <v>1761</v>
      </c>
      <c r="E546" s="3">
        <v>43347</v>
      </c>
      <c r="F546">
        <f t="shared" si="16"/>
        <v>9</v>
      </c>
      <c r="G546">
        <f t="shared" si="17"/>
        <v>2018</v>
      </c>
    </row>
    <row r="547" spans="1:7" x14ac:dyDescent="0.25">
      <c r="A547" s="2" t="s">
        <v>1002</v>
      </c>
      <c r="B547" s="2" t="s">
        <v>1762</v>
      </c>
      <c r="C547" s="2" t="s">
        <v>1763</v>
      </c>
      <c r="D547" s="2" t="s">
        <v>1764</v>
      </c>
      <c r="E547" s="3">
        <v>43347</v>
      </c>
      <c r="F547">
        <f t="shared" si="16"/>
        <v>9</v>
      </c>
      <c r="G547">
        <f t="shared" si="17"/>
        <v>2018</v>
      </c>
    </row>
    <row r="548" spans="1:7" x14ac:dyDescent="0.25">
      <c r="A548" s="2" t="s">
        <v>1765</v>
      </c>
      <c r="B548" s="2" t="s">
        <v>1766</v>
      </c>
      <c r="C548" s="2" t="s">
        <v>1767</v>
      </c>
      <c r="D548" s="2" t="s">
        <v>1768</v>
      </c>
      <c r="E548" s="3">
        <v>43346</v>
      </c>
      <c r="F548">
        <f t="shared" si="16"/>
        <v>9</v>
      </c>
      <c r="G548">
        <f t="shared" si="17"/>
        <v>2018</v>
      </c>
    </row>
    <row r="549" spans="1:7" x14ac:dyDescent="0.25">
      <c r="A549" s="2" t="s">
        <v>537</v>
      </c>
      <c r="B549" s="2" t="s">
        <v>268</v>
      </c>
      <c r="C549" s="2" t="s">
        <v>1769</v>
      </c>
      <c r="D549" s="2" t="s">
        <v>1770</v>
      </c>
      <c r="E549" s="3">
        <v>43346</v>
      </c>
      <c r="F549">
        <f t="shared" si="16"/>
        <v>9</v>
      </c>
      <c r="G549">
        <f t="shared" si="17"/>
        <v>2018</v>
      </c>
    </row>
    <row r="550" spans="1:7" x14ac:dyDescent="0.25">
      <c r="A550" s="2" t="s">
        <v>1771</v>
      </c>
      <c r="B550" s="2" t="s">
        <v>1459</v>
      </c>
      <c r="C550" s="2" t="s">
        <v>1772</v>
      </c>
      <c r="D550" s="2" t="s">
        <v>606</v>
      </c>
      <c r="E550" s="3">
        <v>43346</v>
      </c>
      <c r="F550">
        <f t="shared" si="16"/>
        <v>9</v>
      </c>
      <c r="G550">
        <f t="shared" si="17"/>
        <v>2018</v>
      </c>
    </row>
    <row r="551" spans="1:7" x14ac:dyDescent="0.25">
      <c r="A551" s="2" t="s">
        <v>1773</v>
      </c>
      <c r="B551" s="2" t="s">
        <v>232</v>
      </c>
      <c r="C551" s="2" t="s">
        <v>1774</v>
      </c>
      <c r="D551" s="2" t="s">
        <v>106</v>
      </c>
      <c r="E551" s="3">
        <v>43346</v>
      </c>
      <c r="F551">
        <f t="shared" si="16"/>
        <v>9</v>
      </c>
      <c r="G551">
        <f t="shared" si="17"/>
        <v>2018</v>
      </c>
    </row>
    <row r="552" spans="1:7" x14ac:dyDescent="0.25">
      <c r="A552" s="2" t="s">
        <v>1775</v>
      </c>
      <c r="B552" s="2" t="s">
        <v>1776</v>
      </c>
      <c r="C552" s="2" t="s">
        <v>1777</v>
      </c>
      <c r="D552" s="2" t="s">
        <v>1263</v>
      </c>
      <c r="E552" s="3">
        <v>43346</v>
      </c>
      <c r="F552">
        <f t="shared" si="16"/>
        <v>9</v>
      </c>
      <c r="G552">
        <f t="shared" si="17"/>
        <v>2018</v>
      </c>
    </row>
    <row r="553" spans="1:7" x14ac:dyDescent="0.25">
      <c r="A553" s="2" t="s">
        <v>1778</v>
      </c>
      <c r="B553" s="2" t="s">
        <v>1779</v>
      </c>
      <c r="C553" s="2" t="s">
        <v>1780</v>
      </c>
      <c r="D553" s="2" t="s">
        <v>1781</v>
      </c>
      <c r="E553" s="3">
        <v>43346</v>
      </c>
      <c r="F553">
        <f t="shared" si="16"/>
        <v>9</v>
      </c>
      <c r="G553">
        <f t="shared" si="17"/>
        <v>2018</v>
      </c>
    </row>
    <row r="554" spans="1:7" x14ac:dyDescent="0.25">
      <c r="A554" s="2" t="s">
        <v>1782</v>
      </c>
      <c r="B554" s="2" t="s">
        <v>1783</v>
      </c>
      <c r="C554" s="2" t="s">
        <v>1784</v>
      </c>
      <c r="D554" s="2" t="s">
        <v>141</v>
      </c>
      <c r="E554" s="3">
        <v>43346</v>
      </c>
      <c r="F554">
        <f t="shared" si="16"/>
        <v>9</v>
      </c>
      <c r="G554">
        <f t="shared" si="17"/>
        <v>2018</v>
      </c>
    </row>
    <row r="555" spans="1:7" x14ac:dyDescent="0.25">
      <c r="A555" s="2" t="s">
        <v>1785</v>
      </c>
      <c r="B555" s="2" t="s">
        <v>1786</v>
      </c>
      <c r="C555" s="2" t="s">
        <v>1637</v>
      </c>
      <c r="D555" s="2" t="s">
        <v>1787</v>
      </c>
      <c r="E555" s="3">
        <v>43346</v>
      </c>
      <c r="F555">
        <f t="shared" si="16"/>
        <v>9</v>
      </c>
      <c r="G555">
        <f t="shared" si="17"/>
        <v>2018</v>
      </c>
    </row>
    <row r="556" spans="1:7" x14ac:dyDescent="0.25">
      <c r="A556" s="2" t="s">
        <v>1788</v>
      </c>
      <c r="B556" s="2" t="s">
        <v>1789</v>
      </c>
      <c r="C556" s="2" t="s">
        <v>31</v>
      </c>
      <c r="D556" s="2" t="s">
        <v>168</v>
      </c>
      <c r="E556" s="3">
        <v>43346</v>
      </c>
      <c r="F556">
        <f t="shared" si="16"/>
        <v>9</v>
      </c>
      <c r="G556">
        <f t="shared" si="17"/>
        <v>2018</v>
      </c>
    </row>
    <row r="557" spans="1:7" x14ac:dyDescent="0.25">
      <c r="A557" s="2" t="s">
        <v>671</v>
      </c>
      <c r="B557" s="2" t="s">
        <v>819</v>
      </c>
      <c r="C557" s="2" t="s">
        <v>1790</v>
      </c>
      <c r="D557" s="2" t="s">
        <v>1791</v>
      </c>
      <c r="E557" s="3">
        <v>43344</v>
      </c>
      <c r="F557">
        <f t="shared" si="16"/>
        <v>9</v>
      </c>
      <c r="G557">
        <f t="shared" si="17"/>
        <v>2018</v>
      </c>
    </row>
    <row r="558" spans="1:7" x14ac:dyDescent="0.25">
      <c r="A558" s="2" t="s">
        <v>268</v>
      </c>
      <c r="B558" s="2" t="s">
        <v>1792</v>
      </c>
      <c r="C558" s="2" t="s">
        <v>1793</v>
      </c>
      <c r="D558" s="2" t="s">
        <v>1794</v>
      </c>
      <c r="E558" s="3">
        <v>43344</v>
      </c>
      <c r="F558">
        <f t="shared" si="16"/>
        <v>9</v>
      </c>
      <c r="G558">
        <f t="shared" si="17"/>
        <v>2018</v>
      </c>
    </row>
    <row r="559" spans="1:7" x14ac:dyDescent="0.25">
      <c r="A559" s="2" t="s">
        <v>1795</v>
      </c>
      <c r="B559" s="2" t="s">
        <v>1796</v>
      </c>
      <c r="C559" s="2" t="s">
        <v>87</v>
      </c>
      <c r="D559" s="2" t="s">
        <v>1797</v>
      </c>
      <c r="E559" s="3">
        <v>43344</v>
      </c>
      <c r="F559">
        <f t="shared" si="16"/>
        <v>9</v>
      </c>
      <c r="G559">
        <f t="shared" si="17"/>
        <v>2018</v>
      </c>
    </row>
    <row r="560" spans="1:7" x14ac:dyDescent="0.25">
      <c r="A560" s="2" t="s">
        <v>1798</v>
      </c>
      <c r="B560" s="2" t="s">
        <v>1799</v>
      </c>
      <c r="C560" s="2" t="s">
        <v>1800</v>
      </c>
      <c r="D560" s="2" t="s">
        <v>8</v>
      </c>
      <c r="E560" s="3">
        <v>43343</v>
      </c>
      <c r="F560">
        <f t="shared" si="16"/>
        <v>8</v>
      </c>
      <c r="G560">
        <f t="shared" si="17"/>
        <v>2018</v>
      </c>
    </row>
    <row r="561" spans="1:7" x14ac:dyDescent="0.25">
      <c r="A561" s="2" t="s">
        <v>1801</v>
      </c>
      <c r="B561" s="2" t="s">
        <v>1802</v>
      </c>
      <c r="C561" s="2" t="s">
        <v>1803</v>
      </c>
      <c r="D561" s="2" t="s">
        <v>602</v>
      </c>
      <c r="E561" s="3">
        <v>43343</v>
      </c>
      <c r="F561">
        <f t="shared" si="16"/>
        <v>8</v>
      </c>
      <c r="G561">
        <f t="shared" si="17"/>
        <v>2018</v>
      </c>
    </row>
    <row r="562" spans="1:7" x14ac:dyDescent="0.25">
      <c r="A562" s="2" t="s">
        <v>1804</v>
      </c>
      <c r="B562" s="2" t="s">
        <v>1805</v>
      </c>
      <c r="C562" s="2" t="s">
        <v>1806</v>
      </c>
      <c r="D562" s="2" t="s">
        <v>395</v>
      </c>
      <c r="E562" s="3">
        <v>43342</v>
      </c>
      <c r="F562">
        <f t="shared" si="16"/>
        <v>8</v>
      </c>
      <c r="G562">
        <f t="shared" si="17"/>
        <v>2018</v>
      </c>
    </row>
    <row r="563" spans="1:7" x14ac:dyDescent="0.25">
      <c r="A563" s="2" t="s">
        <v>1807</v>
      </c>
      <c r="B563" s="2" t="s">
        <v>1808</v>
      </c>
      <c r="C563" s="2" t="s">
        <v>1277</v>
      </c>
      <c r="D563" s="2" t="s">
        <v>1809</v>
      </c>
      <c r="E563" s="3">
        <v>43342</v>
      </c>
      <c r="F563">
        <f t="shared" si="16"/>
        <v>8</v>
      </c>
      <c r="G563">
        <f t="shared" si="17"/>
        <v>2018</v>
      </c>
    </row>
    <row r="564" spans="1:7" x14ac:dyDescent="0.25">
      <c r="A564" s="2" t="s">
        <v>1810</v>
      </c>
      <c r="B564" s="2" t="s">
        <v>1811</v>
      </c>
      <c r="C564" s="2" t="s">
        <v>956</v>
      </c>
      <c r="D564" s="2" t="s">
        <v>28</v>
      </c>
      <c r="E564" s="3">
        <v>43342</v>
      </c>
      <c r="F564">
        <f t="shared" si="16"/>
        <v>8</v>
      </c>
      <c r="G564">
        <f t="shared" si="17"/>
        <v>2018</v>
      </c>
    </row>
    <row r="565" spans="1:7" x14ac:dyDescent="0.25">
      <c r="A565" s="2" t="s">
        <v>1570</v>
      </c>
      <c r="B565" s="2" t="s">
        <v>1812</v>
      </c>
      <c r="C565" s="2" t="s">
        <v>1813</v>
      </c>
      <c r="D565" s="2" t="s">
        <v>1814</v>
      </c>
      <c r="E565" s="3">
        <v>43342</v>
      </c>
      <c r="F565">
        <f t="shared" si="16"/>
        <v>8</v>
      </c>
      <c r="G565">
        <f t="shared" si="17"/>
        <v>2018</v>
      </c>
    </row>
    <row r="566" spans="1:7" x14ac:dyDescent="0.25">
      <c r="A566" s="2" t="s">
        <v>1815</v>
      </c>
      <c r="B566" s="2" t="s">
        <v>1816</v>
      </c>
      <c r="C566" s="2" t="s">
        <v>1817</v>
      </c>
      <c r="D566" s="2" t="s">
        <v>1818</v>
      </c>
      <c r="E566" s="3">
        <v>43341</v>
      </c>
      <c r="F566">
        <f t="shared" si="16"/>
        <v>8</v>
      </c>
      <c r="G566">
        <f t="shared" si="17"/>
        <v>2018</v>
      </c>
    </row>
    <row r="567" spans="1:7" ht="24" x14ac:dyDescent="0.25">
      <c r="A567" s="2" t="s">
        <v>1819</v>
      </c>
      <c r="B567" s="2" t="s">
        <v>1820</v>
      </c>
      <c r="C567" s="2" t="s">
        <v>1821</v>
      </c>
      <c r="D567" s="2" t="s">
        <v>1822</v>
      </c>
      <c r="E567" s="3">
        <v>43341</v>
      </c>
      <c r="F567">
        <f t="shared" si="16"/>
        <v>8</v>
      </c>
      <c r="G567">
        <f t="shared" si="17"/>
        <v>2018</v>
      </c>
    </row>
    <row r="568" spans="1:7" x14ac:dyDescent="0.25">
      <c r="A568" s="2" t="s">
        <v>1823</v>
      </c>
      <c r="B568" s="2" t="s">
        <v>72</v>
      </c>
      <c r="C568" s="2" t="s">
        <v>117</v>
      </c>
      <c r="D568" s="2" t="s">
        <v>1824</v>
      </c>
      <c r="E568" s="3">
        <v>43340</v>
      </c>
      <c r="F568">
        <f t="shared" si="16"/>
        <v>8</v>
      </c>
      <c r="G568">
        <f t="shared" si="17"/>
        <v>2018</v>
      </c>
    </row>
    <row r="569" spans="1:7" x14ac:dyDescent="0.25">
      <c r="A569" s="2" t="s">
        <v>1825</v>
      </c>
      <c r="B569" s="2" t="s">
        <v>101</v>
      </c>
      <c r="C569" s="2" t="s">
        <v>1677</v>
      </c>
      <c r="D569" s="2" t="s">
        <v>1263</v>
      </c>
      <c r="E569" s="3">
        <v>43340</v>
      </c>
      <c r="F569">
        <f t="shared" si="16"/>
        <v>8</v>
      </c>
      <c r="G569">
        <f t="shared" si="17"/>
        <v>2018</v>
      </c>
    </row>
    <row r="570" spans="1:7" x14ac:dyDescent="0.25">
      <c r="A570" s="2" t="s">
        <v>1826</v>
      </c>
      <c r="B570" s="2" t="s">
        <v>1459</v>
      </c>
      <c r="C570" s="2" t="s">
        <v>1827</v>
      </c>
      <c r="D570" s="2" t="s">
        <v>1828</v>
      </c>
      <c r="E570" s="3">
        <v>43339</v>
      </c>
      <c r="F570">
        <f t="shared" si="16"/>
        <v>8</v>
      </c>
      <c r="G570">
        <f t="shared" si="17"/>
        <v>2018</v>
      </c>
    </row>
    <row r="571" spans="1:7" x14ac:dyDescent="0.25">
      <c r="A571" s="2" t="s">
        <v>29</v>
      </c>
      <c r="B571" s="2" t="s">
        <v>1829</v>
      </c>
      <c r="C571" s="2" t="s">
        <v>1830</v>
      </c>
      <c r="D571" s="2" t="s">
        <v>1831</v>
      </c>
      <c r="E571" s="3">
        <v>43339</v>
      </c>
      <c r="F571">
        <f t="shared" si="16"/>
        <v>8</v>
      </c>
      <c r="G571">
        <f t="shared" si="17"/>
        <v>2018</v>
      </c>
    </row>
    <row r="572" spans="1:7" x14ac:dyDescent="0.25">
      <c r="A572" s="2" t="s">
        <v>1832</v>
      </c>
      <c r="B572" s="2" t="s">
        <v>1833</v>
      </c>
      <c r="C572" s="2" t="s">
        <v>1834</v>
      </c>
      <c r="D572" s="2" t="s">
        <v>1835</v>
      </c>
      <c r="E572" s="3">
        <v>43339</v>
      </c>
      <c r="F572">
        <f t="shared" si="16"/>
        <v>8</v>
      </c>
      <c r="G572">
        <f t="shared" si="17"/>
        <v>2018</v>
      </c>
    </row>
    <row r="573" spans="1:7" ht="24" x14ac:dyDescent="0.25">
      <c r="A573" s="2" t="s">
        <v>1836</v>
      </c>
      <c r="B573" s="2" t="s">
        <v>1837</v>
      </c>
      <c r="C573" s="2" t="s">
        <v>1838</v>
      </c>
      <c r="D573" s="2" t="s">
        <v>1839</v>
      </c>
      <c r="E573" s="3">
        <v>43339</v>
      </c>
      <c r="F573">
        <f t="shared" si="16"/>
        <v>8</v>
      </c>
      <c r="G573">
        <f t="shared" si="17"/>
        <v>2018</v>
      </c>
    </row>
    <row r="574" spans="1:7" x14ac:dyDescent="0.25">
      <c r="A574" s="2" t="s">
        <v>1840</v>
      </c>
      <c r="B574" s="2" t="s">
        <v>914</v>
      </c>
      <c r="C574" s="2" t="s">
        <v>1841</v>
      </c>
      <c r="D574" s="2" t="s">
        <v>201</v>
      </c>
      <c r="E574" s="3">
        <v>43337</v>
      </c>
      <c r="F574">
        <f t="shared" si="16"/>
        <v>8</v>
      </c>
      <c r="G574">
        <f t="shared" si="17"/>
        <v>2018</v>
      </c>
    </row>
    <row r="575" spans="1:7" x14ac:dyDescent="0.25">
      <c r="A575" s="2" t="s">
        <v>1842</v>
      </c>
      <c r="B575" s="2" t="s">
        <v>1843</v>
      </c>
      <c r="C575" s="2" t="s">
        <v>57</v>
      </c>
      <c r="D575" s="2" t="s">
        <v>1844</v>
      </c>
      <c r="E575" s="3">
        <v>43337</v>
      </c>
      <c r="F575">
        <f t="shared" si="16"/>
        <v>8</v>
      </c>
      <c r="G575">
        <f t="shared" si="17"/>
        <v>2018</v>
      </c>
    </row>
    <row r="576" spans="1:7" x14ac:dyDescent="0.25">
      <c r="A576" s="2" t="s">
        <v>1845</v>
      </c>
      <c r="B576" s="2" t="s">
        <v>1846</v>
      </c>
      <c r="C576" s="2" t="s">
        <v>1847</v>
      </c>
      <c r="D576" s="2" t="s">
        <v>1848</v>
      </c>
      <c r="E576" s="3">
        <v>43337</v>
      </c>
      <c r="F576">
        <f t="shared" si="16"/>
        <v>8</v>
      </c>
      <c r="G576">
        <f t="shared" si="17"/>
        <v>2018</v>
      </c>
    </row>
    <row r="577" spans="1:7" x14ac:dyDescent="0.25">
      <c r="A577" s="2" t="s">
        <v>1849</v>
      </c>
      <c r="B577" s="2" t="s">
        <v>1850</v>
      </c>
      <c r="C577" s="2" t="s">
        <v>1851</v>
      </c>
      <c r="D577" s="2" t="s">
        <v>1281</v>
      </c>
      <c r="E577" s="3">
        <v>43337</v>
      </c>
      <c r="F577">
        <f t="shared" si="16"/>
        <v>8</v>
      </c>
      <c r="G577">
        <f t="shared" si="17"/>
        <v>2018</v>
      </c>
    </row>
    <row r="578" spans="1:7" x14ac:dyDescent="0.25">
      <c r="A578" s="2" t="s">
        <v>1852</v>
      </c>
      <c r="B578" s="2" t="s">
        <v>1853</v>
      </c>
      <c r="C578" s="2" t="s">
        <v>1854</v>
      </c>
      <c r="D578" s="2" t="s">
        <v>1855</v>
      </c>
      <c r="E578" s="3">
        <v>43335</v>
      </c>
      <c r="F578">
        <f t="shared" si="16"/>
        <v>8</v>
      </c>
      <c r="G578">
        <f t="shared" si="17"/>
        <v>2018</v>
      </c>
    </row>
    <row r="579" spans="1:7" x14ac:dyDescent="0.25">
      <c r="A579" s="2" t="s">
        <v>1856</v>
      </c>
      <c r="B579" s="2" t="s">
        <v>1857</v>
      </c>
      <c r="C579" s="2" t="s">
        <v>1466</v>
      </c>
      <c r="D579" s="2" t="s">
        <v>1858</v>
      </c>
      <c r="E579" s="3">
        <v>43335</v>
      </c>
      <c r="F579">
        <f t="shared" ref="F579:F642" si="18">MONTH(E579)</f>
        <v>8</v>
      </c>
      <c r="G579">
        <f t="shared" ref="G579:G642" si="19">YEAR(E579)</f>
        <v>2018</v>
      </c>
    </row>
    <row r="580" spans="1:7" ht="24" x14ac:dyDescent="0.25">
      <c r="A580" s="2" t="s">
        <v>886</v>
      </c>
      <c r="B580" s="2" t="s">
        <v>1649</v>
      </c>
      <c r="C580" s="2" t="s">
        <v>1859</v>
      </c>
      <c r="D580" s="2" t="s">
        <v>1860</v>
      </c>
      <c r="E580" s="3">
        <v>43335</v>
      </c>
      <c r="F580">
        <f t="shared" si="18"/>
        <v>8</v>
      </c>
      <c r="G580">
        <f t="shared" si="19"/>
        <v>2018</v>
      </c>
    </row>
    <row r="581" spans="1:7" x14ac:dyDescent="0.25">
      <c r="A581" s="2" t="s">
        <v>1861</v>
      </c>
      <c r="B581" s="2" t="s">
        <v>1862</v>
      </c>
      <c r="C581" s="2" t="s">
        <v>1863</v>
      </c>
      <c r="D581" s="2" t="s">
        <v>1864</v>
      </c>
      <c r="E581" s="3">
        <v>43334</v>
      </c>
      <c r="F581">
        <f t="shared" si="18"/>
        <v>8</v>
      </c>
      <c r="G581">
        <f t="shared" si="19"/>
        <v>2018</v>
      </c>
    </row>
    <row r="582" spans="1:7" x14ac:dyDescent="0.25">
      <c r="A582" s="2" t="s">
        <v>1865</v>
      </c>
      <c r="B582" s="2" t="s">
        <v>1866</v>
      </c>
      <c r="C582" s="2" t="s">
        <v>1867</v>
      </c>
      <c r="D582" s="2" t="s">
        <v>1868</v>
      </c>
      <c r="E582" s="3">
        <v>43334</v>
      </c>
      <c r="F582">
        <f t="shared" si="18"/>
        <v>8</v>
      </c>
      <c r="G582">
        <f t="shared" si="19"/>
        <v>2018</v>
      </c>
    </row>
    <row r="583" spans="1:7" ht="24" x14ac:dyDescent="0.25">
      <c r="A583" s="2" t="s">
        <v>1869</v>
      </c>
      <c r="B583" s="2" t="s">
        <v>1870</v>
      </c>
      <c r="C583" s="2" t="s">
        <v>1871</v>
      </c>
      <c r="D583" s="2" t="s">
        <v>1872</v>
      </c>
      <c r="E583" s="3">
        <v>43334</v>
      </c>
      <c r="F583">
        <f t="shared" si="18"/>
        <v>8</v>
      </c>
      <c r="G583">
        <f t="shared" si="19"/>
        <v>2018</v>
      </c>
    </row>
    <row r="584" spans="1:7" x14ac:dyDescent="0.25">
      <c r="A584" s="2" t="s">
        <v>1873</v>
      </c>
      <c r="B584" s="2" t="s">
        <v>1874</v>
      </c>
      <c r="C584" s="2" t="s">
        <v>1875</v>
      </c>
      <c r="D584" s="2" t="s">
        <v>1876</v>
      </c>
      <c r="E584" s="3">
        <v>43332</v>
      </c>
      <c r="F584">
        <f t="shared" si="18"/>
        <v>8</v>
      </c>
      <c r="G584">
        <f t="shared" si="19"/>
        <v>2018</v>
      </c>
    </row>
    <row r="585" spans="1:7" x14ac:dyDescent="0.25">
      <c r="A585" s="2" t="s">
        <v>1877</v>
      </c>
      <c r="B585" s="2" t="s">
        <v>151</v>
      </c>
      <c r="C585" s="2" t="s">
        <v>174</v>
      </c>
      <c r="D585" s="2" t="s">
        <v>287</v>
      </c>
      <c r="E585" s="3">
        <v>43332</v>
      </c>
      <c r="F585">
        <f t="shared" si="18"/>
        <v>8</v>
      </c>
      <c r="G585">
        <f t="shared" si="19"/>
        <v>2018</v>
      </c>
    </row>
    <row r="586" spans="1:7" x14ac:dyDescent="0.25">
      <c r="A586" s="2" t="s">
        <v>1878</v>
      </c>
      <c r="B586" s="2" t="s">
        <v>1326</v>
      </c>
      <c r="C586" s="2" t="s">
        <v>1057</v>
      </c>
      <c r="D586" s="2" t="s">
        <v>1879</v>
      </c>
      <c r="E586" s="3">
        <v>43331</v>
      </c>
      <c r="F586">
        <f t="shared" si="18"/>
        <v>8</v>
      </c>
      <c r="G586">
        <f t="shared" si="19"/>
        <v>2018</v>
      </c>
    </row>
    <row r="587" spans="1:7" x14ac:dyDescent="0.25">
      <c r="A587" s="2" t="s">
        <v>294</v>
      </c>
      <c r="B587" s="2" t="s">
        <v>1880</v>
      </c>
      <c r="C587" s="2" t="s">
        <v>1881</v>
      </c>
      <c r="D587" s="2" t="s">
        <v>1882</v>
      </c>
      <c r="E587" s="3">
        <v>43331</v>
      </c>
      <c r="F587">
        <f t="shared" si="18"/>
        <v>8</v>
      </c>
      <c r="G587">
        <f t="shared" si="19"/>
        <v>2018</v>
      </c>
    </row>
    <row r="588" spans="1:7" x14ac:dyDescent="0.25">
      <c r="A588" s="2" t="s">
        <v>1883</v>
      </c>
      <c r="B588" s="2" t="s">
        <v>68</v>
      </c>
      <c r="C588" s="2" t="s">
        <v>1884</v>
      </c>
      <c r="D588" s="2" t="s">
        <v>1885</v>
      </c>
      <c r="E588" s="3">
        <v>43330</v>
      </c>
      <c r="F588">
        <f t="shared" si="18"/>
        <v>8</v>
      </c>
      <c r="G588">
        <f t="shared" si="19"/>
        <v>2018</v>
      </c>
    </row>
    <row r="589" spans="1:7" x14ac:dyDescent="0.25">
      <c r="A589" s="2" t="s">
        <v>569</v>
      </c>
      <c r="B589" s="2" t="s">
        <v>181</v>
      </c>
      <c r="C589" s="2" t="s">
        <v>1886</v>
      </c>
      <c r="D589" s="2" t="s">
        <v>1887</v>
      </c>
      <c r="E589" s="3">
        <v>43329</v>
      </c>
      <c r="F589">
        <f t="shared" si="18"/>
        <v>8</v>
      </c>
      <c r="G589">
        <f t="shared" si="19"/>
        <v>2018</v>
      </c>
    </row>
    <row r="590" spans="1:7" x14ac:dyDescent="0.25">
      <c r="A590" s="2" t="s">
        <v>1888</v>
      </c>
      <c r="B590" s="2" t="s">
        <v>1889</v>
      </c>
      <c r="C590" s="2" t="s">
        <v>174</v>
      </c>
      <c r="D590" s="2" t="s">
        <v>1890</v>
      </c>
      <c r="E590" s="3">
        <v>43328</v>
      </c>
      <c r="F590">
        <f t="shared" si="18"/>
        <v>8</v>
      </c>
      <c r="G590">
        <f t="shared" si="19"/>
        <v>2018</v>
      </c>
    </row>
    <row r="591" spans="1:7" ht="24" x14ac:dyDescent="0.25">
      <c r="A591" s="2" t="s">
        <v>1267</v>
      </c>
      <c r="B591" s="2" t="s">
        <v>381</v>
      </c>
      <c r="C591" s="2" t="s">
        <v>1891</v>
      </c>
      <c r="D591" s="2" t="s">
        <v>1892</v>
      </c>
      <c r="E591" s="3">
        <v>43328</v>
      </c>
      <c r="F591">
        <f t="shared" si="18"/>
        <v>8</v>
      </c>
      <c r="G591">
        <f t="shared" si="19"/>
        <v>2018</v>
      </c>
    </row>
    <row r="592" spans="1:7" x14ac:dyDescent="0.25">
      <c r="A592" s="2" t="s">
        <v>1893</v>
      </c>
      <c r="B592" s="2" t="s">
        <v>1894</v>
      </c>
      <c r="C592" s="2" t="s">
        <v>1895</v>
      </c>
      <c r="D592" s="2" t="s">
        <v>114</v>
      </c>
      <c r="E592" s="3">
        <v>43327</v>
      </c>
      <c r="F592">
        <f t="shared" si="18"/>
        <v>8</v>
      </c>
      <c r="G592">
        <f t="shared" si="19"/>
        <v>2018</v>
      </c>
    </row>
    <row r="593" spans="1:7" x14ac:dyDescent="0.25">
      <c r="A593" s="2" t="s">
        <v>1896</v>
      </c>
      <c r="B593" s="2" t="s">
        <v>493</v>
      </c>
      <c r="C593" s="2" t="s">
        <v>1854</v>
      </c>
      <c r="D593" s="2" t="s">
        <v>80</v>
      </c>
      <c r="E593" s="3">
        <v>43327</v>
      </c>
      <c r="F593">
        <f t="shared" si="18"/>
        <v>8</v>
      </c>
      <c r="G593">
        <f t="shared" si="19"/>
        <v>2018</v>
      </c>
    </row>
    <row r="594" spans="1:7" x14ac:dyDescent="0.25">
      <c r="A594" s="2" t="s">
        <v>1897</v>
      </c>
      <c r="B594" s="2" t="s">
        <v>223</v>
      </c>
      <c r="C594" s="2" t="s">
        <v>1898</v>
      </c>
      <c r="D594" s="2" t="s">
        <v>168</v>
      </c>
      <c r="E594" s="3">
        <v>43327</v>
      </c>
      <c r="F594">
        <f t="shared" si="18"/>
        <v>8</v>
      </c>
      <c r="G594">
        <f t="shared" si="19"/>
        <v>2018</v>
      </c>
    </row>
    <row r="595" spans="1:7" x14ac:dyDescent="0.25">
      <c r="A595" s="2" t="s">
        <v>1899</v>
      </c>
      <c r="B595" s="2" t="s">
        <v>232</v>
      </c>
      <c r="C595" s="2" t="s">
        <v>1900</v>
      </c>
      <c r="D595" s="2" t="s">
        <v>1901</v>
      </c>
      <c r="E595" s="3">
        <v>43324</v>
      </c>
      <c r="F595">
        <f t="shared" si="18"/>
        <v>8</v>
      </c>
      <c r="G595">
        <f t="shared" si="19"/>
        <v>2018</v>
      </c>
    </row>
    <row r="596" spans="1:7" x14ac:dyDescent="0.25">
      <c r="A596" s="2" t="s">
        <v>1902</v>
      </c>
      <c r="B596" s="2" t="s">
        <v>1649</v>
      </c>
      <c r="C596" s="2" t="s">
        <v>1903</v>
      </c>
      <c r="D596" s="2" t="s">
        <v>168</v>
      </c>
      <c r="E596" s="3">
        <v>43323</v>
      </c>
      <c r="F596">
        <f t="shared" si="18"/>
        <v>8</v>
      </c>
      <c r="G596">
        <f t="shared" si="19"/>
        <v>2018</v>
      </c>
    </row>
    <row r="597" spans="1:7" x14ac:dyDescent="0.25">
      <c r="A597" s="2" t="s">
        <v>499</v>
      </c>
      <c r="B597" s="2" t="s">
        <v>559</v>
      </c>
      <c r="C597" s="2" t="s">
        <v>1895</v>
      </c>
      <c r="D597" s="2" t="s">
        <v>114</v>
      </c>
      <c r="E597" s="3">
        <v>43322</v>
      </c>
      <c r="F597">
        <f t="shared" si="18"/>
        <v>8</v>
      </c>
      <c r="G597">
        <f t="shared" si="19"/>
        <v>2018</v>
      </c>
    </row>
    <row r="598" spans="1:7" x14ac:dyDescent="0.25">
      <c r="A598" s="2" t="s">
        <v>1904</v>
      </c>
      <c r="B598" s="2" t="s">
        <v>1905</v>
      </c>
      <c r="C598" s="2" t="s">
        <v>1906</v>
      </c>
      <c r="D598" s="2" t="s">
        <v>221</v>
      </c>
      <c r="E598" s="3">
        <v>43322</v>
      </c>
      <c r="F598">
        <f t="shared" si="18"/>
        <v>8</v>
      </c>
      <c r="G598">
        <f t="shared" si="19"/>
        <v>2018</v>
      </c>
    </row>
    <row r="599" spans="1:7" x14ac:dyDescent="0.25">
      <c r="A599" s="2" t="s">
        <v>1907</v>
      </c>
      <c r="B599" s="2" t="s">
        <v>1908</v>
      </c>
      <c r="C599" s="2" t="s">
        <v>1909</v>
      </c>
      <c r="D599" s="2" t="s">
        <v>1910</v>
      </c>
      <c r="E599" s="3">
        <v>43322</v>
      </c>
      <c r="F599">
        <f t="shared" si="18"/>
        <v>8</v>
      </c>
      <c r="G599">
        <f t="shared" si="19"/>
        <v>2018</v>
      </c>
    </row>
    <row r="600" spans="1:7" x14ac:dyDescent="0.25">
      <c r="A600" s="2" t="s">
        <v>1911</v>
      </c>
      <c r="B600" s="2" t="s">
        <v>1912</v>
      </c>
      <c r="C600" s="2" t="s">
        <v>1913</v>
      </c>
      <c r="D600" s="2" t="s">
        <v>1529</v>
      </c>
      <c r="E600" s="3">
        <v>43320</v>
      </c>
      <c r="F600">
        <f t="shared" si="18"/>
        <v>8</v>
      </c>
      <c r="G600">
        <f t="shared" si="19"/>
        <v>2018</v>
      </c>
    </row>
    <row r="601" spans="1:7" ht="24" x14ac:dyDescent="0.25">
      <c r="A601" s="2" t="s">
        <v>197</v>
      </c>
      <c r="B601" s="2" t="s">
        <v>1914</v>
      </c>
      <c r="C601" s="2" t="s">
        <v>1915</v>
      </c>
      <c r="D601" s="2" t="s">
        <v>1517</v>
      </c>
      <c r="E601" s="3">
        <v>43320</v>
      </c>
      <c r="F601">
        <f t="shared" si="18"/>
        <v>8</v>
      </c>
      <c r="G601">
        <f t="shared" si="19"/>
        <v>2018</v>
      </c>
    </row>
    <row r="602" spans="1:7" ht="24" x14ac:dyDescent="0.25">
      <c r="A602" s="2" t="s">
        <v>569</v>
      </c>
      <c r="B602" s="2" t="s">
        <v>1916</v>
      </c>
      <c r="C602" s="2" t="s">
        <v>1917</v>
      </c>
      <c r="D602" s="2" t="s">
        <v>476</v>
      </c>
      <c r="E602" s="3">
        <v>43320</v>
      </c>
      <c r="F602">
        <f t="shared" si="18"/>
        <v>8</v>
      </c>
      <c r="G602">
        <f t="shared" si="19"/>
        <v>2018</v>
      </c>
    </row>
    <row r="603" spans="1:7" x14ac:dyDescent="0.25">
      <c r="A603" s="2" t="s">
        <v>1918</v>
      </c>
      <c r="B603" s="2" t="s">
        <v>1919</v>
      </c>
      <c r="C603" s="2" t="s">
        <v>1920</v>
      </c>
      <c r="D603" s="2" t="s">
        <v>1921</v>
      </c>
      <c r="E603" s="3">
        <v>43318</v>
      </c>
      <c r="F603">
        <f t="shared" si="18"/>
        <v>8</v>
      </c>
      <c r="G603">
        <f t="shared" si="19"/>
        <v>2018</v>
      </c>
    </row>
    <row r="604" spans="1:7" x14ac:dyDescent="0.25">
      <c r="A604" s="2" t="s">
        <v>1922</v>
      </c>
      <c r="B604" s="2" t="s">
        <v>1581</v>
      </c>
      <c r="C604" s="2" t="s">
        <v>1923</v>
      </c>
      <c r="D604" s="2" t="s">
        <v>114</v>
      </c>
      <c r="E604" s="3">
        <v>43316</v>
      </c>
      <c r="F604">
        <f t="shared" si="18"/>
        <v>8</v>
      </c>
      <c r="G604">
        <f t="shared" si="19"/>
        <v>2018</v>
      </c>
    </row>
    <row r="605" spans="1:7" x14ac:dyDescent="0.25">
      <c r="A605" s="2" t="s">
        <v>1924</v>
      </c>
      <c r="B605" s="2" t="s">
        <v>1925</v>
      </c>
      <c r="C605" s="2" t="s">
        <v>1926</v>
      </c>
      <c r="D605" s="2" t="s">
        <v>221</v>
      </c>
      <c r="E605" s="3">
        <v>43316</v>
      </c>
      <c r="F605">
        <f t="shared" si="18"/>
        <v>8</v>
      </c>
      <c r="G605">
        <f t="shared" si="19"/>
        <v>2018</v>
      </c>
    </row>
    <row r="606" spans="1:7" x14ac:dyDescent="0.25">
      <c r="A606" s="2" t="s">
        <v>1927</v>
      </c>
      <c r="B606" s="2" t="s">
        <v>1928</v>
      </c>
      <c r="C606" s="2" t="s">
        <v>1929</v>
      </c>
      <c r="D606" s="2" t="s">
        <v>1930</v>
      </c>
      <c r="E606" s="3">
        <v>43315</v>
      </c>
      <c r="F606">
        <f t="shared" si="18"/>
        <v>8</v>
      </c>
      <c r="G606">
        <f t="shared" si="19"/>
        <v>2018</v>
      </c>
    </row>
    <row r="607" spans="1:7" x14ac:dyDescent="0.25">
      <c r="A607" s="2" t="s">
        <v>1931</v>
      </c>
      <c r="B607" s="2" t="s">
        <v>1932</v>
      </c>
      <c r="C607" s="2" t="s">
        <v>1933</v>
      </c>
      <c r="D607" s="2" t="s">
        <v>1934</v>
      </c>
      <c r="E607" s="3">
        <v>43312</v>
      </c>
      <c r="F607">
        <f t="shared" si="18"/>
        <v>7</v>
      </c>
      <c r="G607">
        <f t="shared" si="19"/>
        <v>2018</v>
      </c>
    </row>
    <row r="608" spans="1:7" x14ac:dyDescent="0.25">
      <c r="A608" s="2" t="s">
        <v>1935</v>
      </c>
      <c r="B608" s="2" t="s">
        <v>1936</v>
      </c>
      <c r="C608" s="2" t="s">
        <v>1937</v>
      </c>
      <c r="D608" s="2" t="s">
        <v>1938</v>
      </c>
      <c r="E608" s="3">
        <v>43309</v>
      </c>
      <c r="F608">
        <f t="shared" si="18"/>
        <v>7</v>
      </c>
      <c r="G608">
        <f t="shared" si="19"/>
        <v>2018</v>
      </c>
    </row>
    <row r="609" spans="1:7" x14ac:dyDescent="0.25">
      <c r="A609" s="2" t="s">
        <v>1939</v>
      </c>
      <c r="B609" s="2" t="s">
        <v>1940</v>
      </c>
      <c r="C609" s="2" t="s">
        <v>1941</v>
      </c>
      <c r="D609" s="2" t="s">
        <v>1942</v>
      </c>
      <c r="E609" s="3">
        <v>43307</v>
      </c>
      <c r="F609">
        <f t="shared" si="18"/>
        <v>7</v>
      </c>
      <c r="G609">
        <f t="shared" si="19"/>
        <v>2018</v>
      </c>
    </row>
    <row r="610" spans="1:7" x14ac:dyDescent="0.25">
      <c r="A610" s="2" t="s">
        <v>1943</v>
      </c>
      <c r="B610" s="2" t="s">
        <v>1944</v>
      </c>
      <c r="C610" s="2" t="s">
        <v>1945</v>
      </c>
      <c r="D610" s="2" t="s">
        <v>1946</v>
      </c>
      <c r="E610" s="3">
        <v>43307</v>
      </c>
      <c r="F610">
        <f t="shared" si="18"/>
        <v>7</v>
      </c>
      <c r="G610">
        <f t="shared" si="19"/>
        <v>2018</v>
      </c>
    </row>
    <row r="611" spans="1:7" x14ac:dyDescent="0.25">
      <c r="A611" s="2" t="s">
        <v>1947</v>
      </c>
      <c r="B611" s="2" t="s">
        <v>101</v>
      </c>
      <c r="C611" s="2" t="s">
        <v>1948</v>
      </c>
      <c r="D611" s="2" t="s">
        <v>168</v>
      </c>
      <c r="E611" s="3">
        <v>43306</v>
      </c>
      <c r="F611">
        <f t="shared" si="18"/>
        <v>7</v>
      </c>
      <c r="G611">
        <f t="shared" si="19"/>
        <v>2018</v>
      </c>
    </row>
    <row r="612" spans="1:7" x14ac:dyDescent="0.25">
      <c r="A612" s="2" t="s">
        <v>1949</v>
      </c>
      <c r="B612" s="2" t="s">
        <v>1950</v>
      </c>
      <c r="C612" s="2" t="s">
        <v>140</v>
      </c>
      <c r="D612" s="2" t="s">
        <v>1951</v>
      </c>
      <c r="E612" s="3">
        <v>43305</v>
      </c>
      <c r="F612">
        <f t="shared" si="18"/>
        <v>7</v>
      </c>
      <c r="G612">
        <f t="shared" si="19"/>
        <v>2018</v>
      </c>
    </row>
    <row r="613" spans="1:7" x14ac:dyDescent="0.25">
      <c r="A613" s="2" t="s">
        <v>1952</v>
      </c>
      <c r="B613" s="2" t="s">
        <v>1953</v>
      </c>
      <c r="C613" s="2" t="s">
        <v>1954</v>
      </c>
      <c r="D613" s="2" t="s">
        <v>1955</v>
      </c>
      <c r="E613" s="3">
        <v>43305</v>
      </c>
      <c r="F613">
        <f t="shared" si="18"/>
        <v>7</v>
      </c>
      <c r="G613">
        <f t="shared" si="19"/>
        <v>2018</v>
      </c>
    </row>
    <row r="614" spans="1:7" x14ac:dyDescent="0.25">
      <c r="A614" s="2" t="s">
        <v>424</v>
      </c>
      <c r="B614" s="2" t="s">
        <v>1956</v>
      </c>
      <c r="C614" s="2" t="s">
        <v>1957</v>
      </c>
      <c r="D614" s="2" t="s">
        <v>124</v>
      </c>
      <c r="E614" s="3">
        <v>43305</v>
      </c>
      <c r="F614">
        <f t="shared" si="18"/>
        <v>7</v>
      </c>
      <c r="G614">
        <f t="shared" si="19"/>
        <v>2018</v>
      </c>
    </row>
    <row r="615" spans="1:7" x14ac:dyDescent="0.25">
      <c r="A615" s="2" t="s">
        <v>1958</v>
      </c>
      <c r="B615" s="2" t="s">
        <v>887</v>
      </c>
      <c r="C615" s="2" t="s">
        <v>1959</v>
      </c>
      <c r="D615" s="2" t="s">
        <v>168</v>
      </c>
      <c r="E615" s="3">
        <v>43303</v>
      </c>
      <c r="F615">
        <f t="shared" si="18"/>
        <v>7</v>
      </c>
      <c r="G615">
        <f t="shared" si="19"/>
        <v>2018</v>
      </c>
    </row>
    <row r="616" spans="1:7" x14ac:dyDescent="0.25">
      <c r="A616" s="2" t="s">
        <v>1960</v>
      </c>
      <c r="B616" s="2" t="s">
        <v>841</v>
      </c>
      <c r="C616" s="2" t="s">
        <v>1961</v>
      </c>
      <c r="D616" s="2" t="s">
        <v>1962</v>
      </c>
      <c r="E616" s="3">
        <v>43303</v>
      </c>
      <c r="F616">
        <f t="shared" si="18"/>
        <v>7</v>
      </c>
      <c r="G616">
        <f t="shared" si="19"/>
        <v>2018</v>
      </c>
    </row>
    <row r="617" spans="1:7" ht="24" x14ac:dyDescent="0.25">
      <c r="A617" s="2" t="s">
        <v>1963</v>
      </c>
      <c r="B617" s="2" t="s">
        <v>1964</v>
      </c>
      <c r="C617" s="2" t="s">
        <v>1965</v>
      </c>
      <c r="D617" s="2" t="s">
        <v>1966</v>
      </c>
      <c r="E617" s="3">
        <v>43300</v>
      </c>
      <c r="F617">
        <f t="shared" si="18"/>
        <v>7</v>
      </c>
      <c r="G617">
        <f t="shared" si="19"/>
        <v>2018</v>
      </c>
    </row>
    <row r="618" spans="1:7" x14ac:dyDescent="0.25">
      <c r="A618" s="2" t="s">
        <v>1967</v>
      </c>
      <c r="B618" s="2" t="s">
        <v>1968</v>
      </c>
      <c r="C618" s="2" t="s">
        <v>1969</v>
      </c>
      <c r="D618" s="2" t="s">
        <v>1970</v>
      </c>
      <c r="E618" s="3">
        <v>43299</v>
      </c>
      <c r="F618">
        <f t="shared" si="18"/>
        <v>7</v>
      </c>
      <c r="G618">
        <f t="shared" si="19"/>
        <v>2018</v>
      </c>
    </row>
    <row r="619" spans="1:7" x14ac:dyDescent="0.25">
      <c r="A619" s="2" t="s">
        <v>1971</v>
      </c>
      <c r="B619" s="2" t="s">
        <v>213</v>
      </c>
      <c r="C619" s="2" t="s">
        <v>1972</v>
      </c>
      <c r="D619" s="2" t="s">
        <v>1973</v>
      </c>
      <c r="E619" s="3">
        <v>43298</v>
      </c>
      <c r="F619">
        <f t="shared" si="18"/>
        <v>7</v>
      </c>
      <c r="G619">
        <f t="shared" si="19"/>
        <v>2018</v>
      </c>
    </row>
    <row r="620" spans="1:7" x14ac:dyDescent="0.25">
      <c r="A620" s="2" t="s">
        <v>1974</v>
      </c>
      <c r="B620" s="2" t="s">
        <v>1975</v>
      </c>
      <c r="C620" s="2" t="s">
        <v>27</v>
      </c>
      <c r="D620" s="2" t="s">
        <v>301</v>
      </c>
      <c r="E620" s="3">
        <v>43297</v>
      </c>
      <c r="F620">
        <f t="shared" si="18"/>
        <v>7</v>
      </c>
      <c r="G620">
        <f t="shared" si="19"/>
        <v>2018</v>
      </c>
    </row>
    <row r="621" spans="1:7" ht="24" x14ac:dyDescent="0.25">
      <c r="A621" s="2" t="s">
        <v>1976</v>
      </c>
      <c r="B621" s="2" t="s">
        <v>1977</v>
      </c>
      <c r="C621" s="2" t="s">
        <v>962</v>
      </c>
      <c r="D621" s="2" t="s">
        <v>1978</v>
      </c>
      <c r="E621" s="3">
        <v>43294</v>
      </c>
      <c r="F621">
        <f t="shared" si="18"/>
        <v>7</v>
      </c>
      <c r="G621">
        <f t="shared" si="19"/>
        <v>2018</v>
      </c>
    </row>
    <row r="622" spans="1:7" x14ac:dyDescent="0.25">
      <c r="A622" s="2" t="s">
        <v>1979</v>
      </c>
      <c r="B622" s="2" t="s">
        <v>60</v>
      </c>
      <c r="C622" s="2" t="s">
        <v>1980</v>
      </c>
      <c r="D622" s="2" t="s">
        <v>1981</v>
      </c>
      <c r="E622" s="3">
        <v>43294</v>
      </c>
      <c r="F622">
        <f t="shared" si="18"/>
        <v>7</v>
      </c>
      <c r="G622">
        <f t="shared" si="19"/>
        <v>2018</v>
      </c>
    </row>
    <row r="623" spans="1:7" x14ac:dyDescent="0.25">
      <c r="A623" s="2" t="s">
        <v>1982</v>
      </c>
      <c r="B623" s="2" t="s">
        <v>1983</v>
      </c>
      <c r="C623" s="2" t="s">
        <v>1984</v>
      </c>
      <c r="D623" s="2" t="s">
        <v>1985</v>
      </c>
      <c r="E623" s="3">
        <v>43292</v>
      </c>
      <c r="F623">
        <f t="shared" si="18"/>
        <v>7</v>
      </c>
      <c r="G623">
        <f t="shared" si="19"/>
        <v>2018</v>
      </c>
    </row>
    <row r="624" spans="1:7" x14ac:dyDescent="0.25">
      <c r="A624" s="2" t="s">
        <v>1986</v>
      </c>
      <c r="B624" s="2" t="s">
        <v>1987</v>
      </c>
      <c r="C624" s="2" t="s">
        <v>1988</v>
      </c>
      <c r="D624" s="2" t="s">
        <v>1989</v>
      </c>
      <c r="E624" s="3">
        <v>43291</v>
      </c>
      <c r="F624">
        <f t="shared" si="18"/>
        <v>7</v>
      </c>
      <c r="G624">
        <f t="shared" si="19"/>
        <v>2018</v>
      </c>
    </row>
    <row r="625" spans="1:7" ht="24" x14ac:dyDescent="0.25">
      <c r="A625" s="2" t="s">
        <v>1990</v>
      </c>
      <c r="B625" s="2" t="s">
        <v>1991</v>
      </c>
      <c r="C625" s="2" t="s">
        <v>1992</v>
      </c>
      <c r="D625" s="2" t="s">
        <v>1993</v>
      </c>
      <c r="E625" s="3">
        <v>43290</v>
      </c>
      <c r="F625">
        <f t="shared" si="18"/>
        <v>7</v>
      </c>
      <c r="G625">
        <f t="shared" si="19"/>
        <v>2018</v>
      </c>
    </row>
    <row r="626" spans="1:7" x14ac:dyDescent="0.25">
      <c r="A626" s="2" t="s">
        <v>337</v>
      </c>
      <c r="B626" s="2" t="s">
        <v>1994</v>
      </c>
      <c r="C626" s="2" t="s">
        <v>1995</v>
      </c>
      <c r="D626" s="2" t="s">
        <v>8</v>
      </c>
      <c r="E626" s="3">
        <v>43290</v>
      </c>
      <c r="F626">
        <f t="shared" si="18"/>
        <v>7</v>
      </c>
      <c r="G626">
        <f t="shared" si="19"/>
        <v>2018</v>
      </c>
    </row>
    <row r="627" spans="1:7" ht="24" x14ac:dyDescent="0.25">
      <c r="A627" s="2" t="s">
        <v>1570</v>
      </c>
      <c r="B627" s="2" t="s">
        <v>1996</v>
      </c>
      <c r="C627" s="2" t="s">
        <v>140</v>
      </c>
      <c r="D627" s="2" t="s">
        <v>1997</v>
      </c>
      <c r="E627" s="3">
        <v>43288</v>
      </c>
      <c r="F627">
        <f t="shared" si="18"/>
        <v>7</v>
      </c>
      <c r="G627">
        <f t="shared" si="19"/>
        <v>2018</v>
      </c>
    </row>
    <row r="628" spans="1:7" x14ac:dyDescent="0.25">
      <c r="A628" s="2" t="s">
        <v>530</v>
      </c>
      <c r="B628" s="2" t="s">
        <v>1998</v>
      </c>
      <c r="C628" s="2" t="s">
        <v>230</v>
      </c>
      <c r="D628" s="2" t="s">
        <v>1999</v>
      </c>
      <c r="E628" s="3">
        <v>43287</v>
      </c>
      <c r="F628">
        <f t="shared" si="18"/>
        <v>7</v>
      </c>
      <c r="G628">
        <f t="shared" si="19"/>
        <v>2018</v>
      </c>
    </row>
    <row r="629" spans="1:7" ht="36" x14ac:dyDescent="0.25">
      <c r="A629" s="2" t="s">
        <v>1518</v>
      </c>
      <c r="B629" s="2" t="s">
        <v>68</v>
      </c>
      <c r="C629" s="2" t="s">
        <v>2000</v>
      </c>
      <c r="D629" s="2" t="s">
        <v>2001</v>
      </c>
      <c r="E629" s="3">
        <v>43286</v>
      </c>
      <c r="F629">
        <f t="shared" si="18"/>
        <v>7</v>
      </c>
      <c r="G629">
        <f t="shared" si="19"/>
        <v>2018</v>
      </c>
    </row>
    <row r="630" spans="1:7" x14ac:dyDescent="0.25">
      <c r="A630" s="2" t="s">
        <v>1227</v>
      </c>
      <c r="B630" s="2" t="s">
        <v>101</v>
      </c>
      <c r="C630" s="2" t="s">
        <v>2002</v>
      </c>
      <c r="D630" s="2" t="s">
        <v>2003</v>
      </c>
      <c r="E630" s="3">
        <v>43286</v>
      </c>
      <c r="F630">
        <f t="shared" si="18"/>
        <v>7</v>
      </c>
      <c r="G630">
        <f t="shared" si="19"/>
        <v>2018</v>
      </c>
    </row>
    <row r="631" spans="1:7" x14ac:dyDescent="0.25">
      <c r="A631" s="2" t="s">
        <v>2004</v>
      </c>
      <c r="B631" s="2" t="s">
        <v>2005</v>
      </c>
      <c r="C631" s="2" t="s">
        <v>2006</v>
      </c>
      <c r="D631" s="2" t="s">
        <v>2007</v>
      </c>
      <c r="E631" s="3">
        <v>43286</v>
      </c>
      <c r="F631">
        <f t="shared" si="18"/>
        <v>7</v>
      </c>
      <c r="G631">
        <f t="shared" si="19"/>
        <v>2018</v>
      </c>
    </row>
    <row r="632" spans="1:7" x14ac:dyDescent="0.25">
      <c r="A632" s="2" t="s">
        <v>2008</v>
      </c>
      <c r="B632" s="2" t="s">
        <v>2009</v>
      </c>
      <c r="C632" s="2" t="s">
        <v>2010</v>
      </c>
      <c r="D632" s="2" t="s">
        <v>476</v>
      </c>
      <c r="E632" s="3">
        <v>43284</v>
      </c>
      <c r="F632">
        <f t="shared" si="18"/>
        <v>7</v>
      </c>
      <c r="G632">
        <f t="shared" si="19"/>
        <v>2018</v>
      </c>
    </row>
    <row r="633" spans="1:7" x14ac:dyDescent="0.25">
      <c r="A633" s="2" t="s">
        <v>2011</v>
      </c>
      <c r="B633" s="2" t="s">
        <v>2012</v>
      </c>
      <c r="C633" s="2" t="s">
        <v>11</v>
      </c>
      <c r="D633" s="2" t="s">
        <v>2013</v>
      </c>
      <c r="E633" s="3">
        <v>43281</v>
      </c>
      <c r="F633">
        <f t="shared" si="18"/>
        <v>6</v>
      </c>
      <c r="G633">
        <f t="shared" si="19"/>
        <v>2018</v>
      </c>
    </row>
    <row r="634" spans="1:7" x14ac:dyDescent="0.25">
      <c r="A634" s="2" t="s">
        <v>21</v>
      </c>
      <c r="B634" s="2" t="s">
        <v>2014</v>
      </c>
      <c r="C634" s="2" t="s">
        <v>2015</v>
      </c>
      <c r="D634" s="2" t="s">
        <v>24</v>
      </c>
      <c r="E634" s="3">
        <v>43280</v>
      </c>
      <c r="F634">
        <f t="shared" si="18"/>
        <v>6</v>
      </c>
      <c r="G634">
        <f t="shared" si="19"/>
        <v>2018</v>
      </c>
    </row>
    <row r="635" spans="1:7" x14ac:dyDescent="0.25">
      <c r="A635" s="2" t="s">
        <v>1607</v>
      </c>
      <c r="B635" s="2" t="s">
        <v>2016</v>
      </c>
      <c r="C635" s="2" t="s">
        <v>2017</v>
      </c>
      <c r="D635" s="2" t="s">
        <v>2018</v>
      </c>
      <c r="E635" s="3">
        <v>43280</v>
      </c>
      <c r="F635">
        <f t="shared" si="18"/>
        <v>6</v>
      </c>
      <c r="G635">
        <f t="shared" si="19"/>
        <v>2018</v>
      </c>
    </row>
    <row r="636" spans="1:7" x14ac:dyDescent="0.25">
      <c r="A636" s="2" t="s">
        <v>2019</v>
      </c>
      <c r="B636" s="2" t="s">
        <v>2020</v>
      </c>
      <c r="C636" s="2" t="s">
        <v>2021</v>
      </c>
      <c r="D636" s="2" t="s">
        <v>2022</v>
      </c>
      <c r="E636" s="3">
        <v>43279</v>
      </c>
      <c r="F636">
        <f t="shared" si="18"/>
        <v>6</v>
      </c>
      <c r="G636">
        <f t="shared" si="19"/>
        <v>2018</v>
      </c>
    </row>
    <row r="637" spans="1:7" ht="24" x14ac:dyDescent="0.25">
      <c r="A637" s="2" t="s">
        <v>2023</v>
      </c>
      <c r="B637" s="2" t="s">
        <v>2024</v>
      </c>
      <c r="C637" s="2" t="s">
        <v>2025</v>
      </c>
      <c r="D637" s="2" t="s">
        <v>1043</v>
      </c>
      <c r="E637" s="3">
        <v>43279</v>
      </c>
      <c r="F637">
        <f t="shared" si="18"/>
        <v>6</v>
      </c>
      <c r="G637">
        <f t="shared" si="19"/>
        <v>2018</v>
      </c>
    </row>
    <row r="638" spans="1:7" ht="48" x14ac:dyDescent="0.25">
      <c r="A638" s="2" t="s">
        <v>2026</v>
      </c>
      <c r="B638" s="2" t="s">
        <v>2027</v>
      </c>
      <c r="C638" s="2" t="s">
        <v>2028</v>
      </c>
      <c r="D638" s="2" t="s">
        <v>256</v>
      </c>
      <c r="E638" s="3">
        <v>43279</v>
      </c>
      <c r="F638">
        <f t="shared" si="18"/>
        <v>6</v>
      </c>
      <c r="G638">
        <f t="shared" si="19"/>
        <v>2018</v>
      </c>
    </row>
    <row r="639" spans="1:7" x14ac:dyDescent="0.25">
      <c r="A639" s="2" t="s">
        <v>2029</v>
      </c>
      <c r="B639" s="2" t="s">
        <v>535</v>
      </c>
      <c r="C639" s="2" t="s">
        <v>2030</v>
      </c>
      <c r="D639" s="2" t="s">
        <v>2031</v>
      </c>
      <c r="E639" s="3">
        <v>43279</v>
      </c>
      <c r="F639">
        <f t="shared" si="18"/>
        <v>6</v>
      </c>
      <c r="G639">
        <f t="shared" si="19"/>
        <v>2018</v>
      </c>
    </row>
    <row r="640" spans="1:7" x14ac:dyDescent="0.25">
      <c r="A640" s="2" t="s">
        <v>2032</v>
      </c>
      <c r="B640" s="2" t="s">
        <v>1687</v>
      </c>
      <c r="C640" s="2" t="s">
        <v>2033</v>
      </c>
      <c r="D640" s="2" t="s">
        <v>168</v>
      </c>
      <c r="E640" s="3">
        <v>43279</v>
      </c>
      <c r="F640">
        <f t="shared" si="18"/>
        <v>6</v>
      </c>
      <c r="G640">
        <f t="shared" si="19"/>
        <v>2018</v>
      </c>
    </row>
    <row r="641" spans="1:7" ht="24" x14ac:dyDescent="0.25">
      <c r="A641" s="2" t="s">
        <v>2034</v>
      </c>
      <c r="B641" s="2" t="s">
        <v>2035</v>
      </c>
      <c r="C641" s="2" t="s">
        <v>2036</v>
      </c>
      <c r="D641" s="2" t="s">
        <v>2037</v>
      </c>
      <c r="E641" s="3">
        <v>43278</v>
      </c>
      <c r="F641">
        <f t="shared" si="18"/>
        <v>6</v>
      </c>
      <c r="G641">
        <f t="shared" si="19"/>
        <v>2018</v>
      </c>
    </row>
    <row r="642" spans="1:7" x14ac:dyDescent="0.25">
      <c r="A642" s="2" t="s">
        <v>2038</v>
      </c>
      <c r="B642" s="2" t="s">
        <v>2039</v>
      </c>
      <c r="C642" s="2" t="s">
        <v>609</v>
      </c>
      <c r="D642" s="2" t="s">
        <v>168</v>
      </c>
      <c r="E642" s="3">
        <v>43277</v>
      </c>
      <c r="F642">
        <f t="shared" si="18"/>
        <v>6</v>
      </c>
      <c r="G642">
        <f t="shared" si="19"/>
        <v>2018</v>
      </c>
    </row>
    <row r="643" spans="1:7" x14ac:dyDescent="0.25">
      <c r="A643" s="2" t="s">
        <v>2040</v>
      </c>
      <c r="B643" s="2" t="s">
        <v>181</v>
      </c>
      <c r="C643" s="2" t="s">
        <v>2041</v>
      </c>
      <c r="D643" s="2" t="s">
        <v>2042</v>
      </c>
      <c r="E643" s="3">
        <v>43277</v>
      </c>
      <c r="F643">
        <f t="shared" ref="F643:F706" si="20">MONTH(E643)</f>
        <v>6</v>
      </c>
      <c r="G643">
        <f t="shared" ref="G643:G706" si="21">YEAR(E643)</f>
        <v>2018</v>
      </c>
    </row>
    <row r="644" spans="1:7" x14ac:dyDescent="0.25">
      <c r="A644" s="2" t="s">
        <v>2043</v>
      </c>
      <c r="B644" s="2" t="s">
        <v>668</v>
      </c>
      <c r="C644" s="2" t="s">
        <v>2015</v>
      </c>
      <c r="D644" s="2" t="s">
        <v>2044</v>
      </c>
      <c r="E644" s="3">
        <v>43276</v>
      </c>
      <c r="F644">
        <f t="shared" si="20"/>
        <v>6</v>
      </c>
      <c r="G644">
        <f t="shared" si="21"/>
        <v>2018</v>
      </c>
    </row>
    <row r="645" spans="1:7" x14ac:dyDescent="0.25">
      <c r="A645" s="2" t="s">
        <v>2045</v>
      </c>
      <c r="B645" s="2" t="s">
        <v>2046</v>
      </c>
      <c r="C645" s="2" t="s">
        <v>2047</v>
      </c>
      <c r="D645" s="2" t="s">
        <v>2048</v>
      </c>
      <c r="E645" s="3">
        <v>43274</v>
      </c>
      <c r="F645">
        <f t="shared" si="20"/>
        <v>6</v>
      </c>
      <c r="G645">
        <f t="shared" si="21"/>
        <v>2018</v>
      </c>
    </row>
    <row r="646" spans="1:7" x14ac:dyDescent="0.25">
      <c r="A646" s="2" t="s">
        <v>734</v>
      </c>
      <c r="B646" s="2" t="s">
        <v>2049</v>
      </c>
      <c r="C646" s="2" t="s">
        <v>2050</v>
      </c>
      <c r="D646" s="2" t="s">
        <v>2051</v>
      </c>
      <c r="E646" s="3">
        <v>43274</v>
      </c>
      <c r="F646">
        <f t="shared" si="20"/>
        <v>6</v>
      </c>
      <c r="G646">
        <f t="shared" si="21"/>
        <v>2018</v>
      </c>
    </row>
    <row r="647" spans="1:7" ht="24" x14ac:dyDescent="0.25">
      <c r="A647" s="2" t="s">
        <v>2052</v>
      </c>
      <c r="B647" s="2" t="s">
        <v>2053</v>
      </c>
      <c r="C647" s="2" t="s">
        <v>2054</v>
      </c>
      <c r="D647" s="2" t="s">
        <v>2055</v>
      </c>
      <c r="E647" s="3">
        <v>43273</v>
      </c>
      <c r="F647">
        <f t="shared" si="20"/>
        <v>6</v>
      </c>
      <c r="G647">
        <f t="shared" si="21"/>
        <v>2018</v>
      </c>
    </row>
    <row r="648" spans="1:7" x14ac:dyDescent="0.25">
      <c r="A648" s="2" t="s">
        <v>2056</v>
      </c>
      <c r="B648" s="2" t="s">
        <v>2057</v>
      </c>
      <c r="C648" s="2" t="s">
        <v>11</v>
      </c>
      <c r="D648" s="2" t="s">
        <v>2058</v>
      </c>
      <c r="E648" s="3">
        <v>43273</v>
      </c>
      <c r="F648">
        <f t="shared" si="20"/>
        <v>6</v>
      </c>
      <c r="G648">
        <f t="shared" si="21"/>
        <v>2018</v>
      </c>
    </row>
    <row r="649" spans="1:7" x14ac:dyDescent="0.25">
      <c r="A649" s="2" t="s">
        <v>1261</v>
      </c>
      <c r="B649" s="2" t="s">
        <v>2059</v>
      </c>
      <c r="C649" s="2" t="s">
        <v>387</v>
      </c>
      <c r="D649" s="2" t="s">
        <v>670</v>
      </c>
      <c r="E649" s="3">
        <v>43267</v>
      </c>
      <c r="F649">
        <f t="shared" si="20"/>
        <v>6</v>
      </c>
      <c r="G649">
        <f t="shared" si="21"/>
        <v>2018</v>
      </c>
    </row>
    <row r="650" spans="1:7" ht="24" x14ac:dyDescent="0.25">
      <c r="A650" s="2" t="s">
        <v>2060</v>
      </c>
      <c r="B650" s="2" t="s">
        <v>2061</v>
      </c>
      <c r="C650" s="2" t="s">
        <v>2062</v>
      </c>
      <c r="D650" s="2" t="s">
        <v>287</v>
      </c>
      <c r="E650" s="3">
        <v>43264</v>
      </c>
      <c r="F650">
        <f t="shared" si="20"/>
        <v>6</v>
      </c>
      <c r="G650">
        <f t="shared" si="21"/>
        <v>2018</v>
      </c>
    </row>
    <row r="651" spans="1:7" ht="24" x14ac:dyDescent="0.25">
      <c r="A651" s="2" t="s">
        <v>2063</v>
      </c>
      <c r="B651" s="2" t="s">
        <v>2064</v>
      </c>
      <c r="C651" s="2" t="s">
        <v>2065</v>
      </c>
      <c r="D651" s="2" t="s">
        <v>2066</v>
      </c>
      <c r="E651" s="3">
        <v>43263</v>
      </c>
      <c r="F651">
        <f t="shared" si="20"/>
        <v>6</v>
      </c>
      <c r="G651">
        <f t="shared" si="21"/>
        <v>2018</v>
      </c>
    </row>
    <row r="652" spans="1:7" x14ac:dyDescent="0.25">
      <c r="A652" s="2" t="s">
        <v>2067</v>
      </c>
      <c r="B652" s="2" t="s">
        <v>2059</v>
      </c>
      <c r="C652" s="2" t="s">
        <v>884</v>
      </c>
      <c r="D652" s="2" t="s">
        <v>2068</v>
      </c>
      <c r="E652" s="3">
        <v>43262</v>
      </c>
      <c r="F652">
        <f t="shared" si="20"/>
        <v>6</v>
      </c>
      <c r="G652">
        <f t="shared" si="21"/>
        <v>2018</v>
      </c>
    </row>
    <row r="653" spans="1:7" x14ac:dyDescent="0.25">
      <c r="A653" s="2" t="s">
        <v>2069</v>
      </c>
      <c r="B653" s="2" t="s">
        <v>2070</v>
      </c>
      <c r="C653" s="2" t="s">
        <v>2071</v>
      </c>
      <c r="D653" s="2" t="s">
        <v>287</v>
      </c>
      <c r="E653" s="3">
        <v>43262</v>
      </c>
      <c r="F653">
        <f t="shared" si="20"/>
        <v>6</v>
      </c>
      <c r="G653">
        <f t="shared" si="21"/>
        <v>2018</v>
      </c>
    </row>
    <row r="654" spans="1:7" x14ac:dyDescent="0.25">
      <c r="A654" s="2" t="s">
        <v>2072</v>
      </c>
      <c r="B654" s="2" t="s">
        <v>2073</v>
      </c>
      <c r="C654" s="2" t="s">
        <v>2074</v>
      </c>
      <c r="D654" s="2" t="s">
        <v>476</v>
      </c>
      <c r="E654" s="3">
        <v>43261</v>
      </c>
      <c r="F654">
        <f t="shared" si="20"/>
        <v>6</v>
      </c>
      <c r="G654">
        <f t="shared" si="21"/>
        <v>2018</v>
      </c>
    </row>
    <row r="655" spans="1:7" x14ac:dyDescent="0.25">
      <c r="A655" s="2" t="s">
        <v>2075</v>
      </c>
      <c r="B655" s="2" t="s">
        <v>1740</v>
      </c>
      <c r="C655" s="2" t="s">
        <v>1067</v>
      </c>
      <c r="D655" s="2" t="s">
        <v>168</v>
      </c>
      <c r="E655" s="3">
        <v>43261</v>
      </c>
      <c r="F655">
        <f t="shared" si="20"/>
        <v>6</v>
      </c>
      <c r="G655">
        <f t="shared" si="21"/>
        <v>2018</v>
      </c>
    </row>
    <row r="656" spans="1:7" x14ac:dyDescent="0.25">
      <c r="A656" s="2" t="s">
        <v>68</v>
      </c>
      <c r="B656" s="2" t="s">
        <v>2076</v>
      </c>
      <c r="C656" s="2" t="s">
        <v>2077</v>
      </c>
      <c r="D656" s="2" t="s">
        <v>602</v>
      </c>
      <c r="E656" s="3">
        <v>43260</v>
      </c>
      <c r="F656">
        <f t="shared" si="20"/>
        <v>6</v>
      </c>
      <c r="G656">
        <f t="shared" si="21"/>
        <v>2018</v>
      </c>
    </row>
    <row r="657" spans="1:7" x14ac:dyDescent="0.25">
      <c r="A657" s="2" t="s">
        <v>779</v>
      </c>
      <c r="B657" s="2" t="s">
        <v>2078</v>
      </c>
      <c r="C657" s="2" t="s">
        <v>2079</v>
      </c>
      <c r="D657" s="2" t="s">
        <v>365</v>
      </c>
      <c r="E657" s="3">
        <v>43259</v>
      </c>
      <c r="F657">
        <f t="shared" si="20"/>
        <v>6</v>
      </c>
      <c r="G657">
        <f t="shared" si="21"/>
        <v>2018</v>
      </c>
    </row>
    <row r="658" spans="1:7" x14ac:dyDescent="0.25">
      <c r="A658" s="2" t="s">
        <v>2080</v>
      </c>
      <c r="B658" s="2" t="s">
        <v>2081</v>
      </c>
      <c r="C658" s="2" t="s">
        <v>2082</v>
      </c>
      <c r="D658" s="2" t="s">
        <v>2083</v>
      </c>
      <c r="E658" s="3">
        <v>43257</v>
      </c>
      <c r="F658">
        <f t="shared" si="20"/>
        <v>6</v>
      </c>
      <c r="G658">
        <f t="shared" si="21"/>
        <v>2018</v>
      </c>
    </row>
    <row r="659" spans="1:7" x14ac:dyDescent="0.25">
      <c r="A659" s="2" t="s">
        <v>2084</v>
      </c>
      <c r="B659" s="2" t="s">
        <v>1436</v>
      </c>
      <c r="C659" s="2" t="s">
        <v>42</v>
      </c>
      <c r="D659" s="2" t="s">
        <v>2085</v>
      </c>
      <c r="E659" s="3">
        <v>43256</v>
      </c>
      <c r="F659">
        <f t="shared" si="20"/>
        <v>6</v>
      </c>
      <c r="G659">
        <f t="shared" si="21"/>
        <v>2018</v>
      </c>
    </row>
    <row r="660" spans="1:7" x14ac:dyDescent="0.25">
      <c r="A660" s="2" t="s">
        <v>2086</v>
      </c>
      <c r="B660" s="2" t="s">
        <v>535</v>
      </c>
      <c r="C660" s="2" t="s">
        <v>915</v>
      </c>
      <c r="D660" s="2" t="s">
        <v>1263</v>
      </c>
      <c r="E660" s="3">
        <v>43256</v>
      </c>
      <c r="F660">
        <f t="shared" si="20"/>
        <v>6</v>
      </c>
      <c r="G660">
        <f t="shared" si="21"/>
        <v>2018</v>
      </c>
    </row>
    <row r="661" spans="1:7" x14ac:dyDescent="0.25">
      <c r="A661" s="2" t="s">
        <v>2087</v>
      </c>
      <c r="B661" s="2" t="s">
        <v>2088</v>
      </c>
      <c r="C661" s="2" t="s">
        <v>2089</v>
      </c>
      <c r="D661" s="2" t="s">
        <v>365</v>
      </c>
      <c r="E661" s="3">
        <v>43255</v>
      </c>
      <c r="F661">
        <f t="shared" si="20"/>
        <v>6</v>
      </c>
      <c r="G661">
        <f t="shared" si="21"/>
        <v>2018</v>
      </c>
    </row>
    <row r="662" spans="1:7" ht="24" x14ac:dyDescent="0.25">
      <c r="A662" s="2" t="s">
        <v>2090</v>
      </c>
      <c r="B662" s="2" t="s">
        <v>2091</v>
      </c>
      <c r="C662" s="2" t="s">
        <v>2092</v>
      </c>
      <c r="D662" s="2" t="s">
        <v>2093</v>
      </c>
      <c r="E662" s="3">
        <v>43253</v>
      </c>
      <c r="F662">
        <f t="shared" si="20"/>
        <v>6</v>
      </c>
      <c r="G662">
        <f t="shared" si="21"/>
        <v>2018</v>
      </c>
    </row>
    <row r="663" spans="1:7" x14ac:dyDescent="0.25">
      <c r="A663" s="2" t="s">
        <v>49</v>
      </c>
      <c r="B663" s="2" t="s">
        <v>2094</v>
      </c>
      <c r="C663" s="2" t="s">
        <v>174</v>
      </c>
      <c r="D663" s="2" t="s">
        <v>2095</v>
      </c>
      <c r="E663" s="3">
        <v>43253</v>
      </c>
      <c r="F663">
        <f t="shared" si="20"/>
        <v>6</v>
      </c>
      <c r="G663">
        <f t="shared" si="21"/>
        <v>2018</v>
      </c>
    </row>
    <row r="664" spans="1:7" x14ac:dyDescent="0.25">
      <c r="A664" s="2" t="s">
        <v>2096</v>
      </c>
      <c r="B664" s="2" t="s">
        <v>2097</v>
      </c>
      <c r="C664" s="2" t="s">
        <v>2098</v>
      </c>
      <c r="D664" s="2" t="s">
        <v>670</v>
      </c>
      <c r="E664" s="3">
        <v>43253</v>
      </c>
      <c r="F664">
        <f t="shared" si="20"/>
        <v>6</v>
      </c>
      <c r="G664">
        <f t="shared" si="21"/>
        <v>2018</v>
      </c>
    </row>
    <row r="665" spans="1:7" x14ac:dyDescent="0.25">
      <c r="A665" s="2" t="s">
        <v>2099</v>
      </c>
      <c r="B665" s="2" t="s">
        <v>2100</v>
      </c>
      <c r="C665" s="2" t="s">
        <v>2101</v>
      </c>
      <c r="D665" s="2" t="s">
        <v>602</v>
      </c>
      <c r="E665" s="3">
        <v>43252</v>
      </c>
      <c r="F665">
        <f t="shared" si="20"/>
        <v>6</v>
      </c>
      <c r="G665">
        <f t="shared" si="21"/>
        <v>2018</v>
      </c>
    </row>
    <row r="666" spans="1:7" x14ac:dyDescent="0.25">
      <c r="A666" s="2" t="s">
        <v>294</v>
      </c>
      <c r="B666" s="2" t="s">
        <v>1587</v>
      </c>
      <c r="C666" s="2" t="s">
        <v>2102</v>
      </c>
      <c r="D666" s="2" t="s">
        <v>2103</v>
      </c>
      <c r="E666" s="3">
        <v>43251</v>
      </c>
      <c r="F666">
        <f t="shared" si="20"/>
        <v>5</v>
      </c>
      <c r="G666">
        <f t="shared" si="21"/>
        <v>2018</v>
      </c>
    </row>
    <row r="667" spans="1:7" x14ac:dyDescent="0.25">
      <c r="A667" s="2" t="s">
        <v>2104</v>
      </c>
      <c r="B667" s="2" t="s">
        <v>2105</v>
      </c>
      <c r="C667" s="2" t="s">
        <v>2106</v>
      </c>
      <c r="D667" s="2" t="s">
        <v>239</v>
      </c>
      <c r="E667" s="3">
        <v>43249</v>
      </c>
      <c r="F667">
        <f t="shared" si="20"/>
        <v>5</v>
      </c>
      <c r="G667">
        <f t="shared" si="21"/>
        <v>2018</v>
      </c>
    </row>
    <row r="668" spans="1:7" x14ac:dyDescent="0.25">
      <c r="A668" s="2" t="s">
        <v>772</v>
      </c>
      <c r="B668" s="2" t="s">
        <v>2107</v>
      </c>
      <c r="C668" s="2" t="s">
        <v>1704</v>
      </c>
      <c r="D668" s="2" t="s">
        <v>2108</v>
      </c>
      <c r="E668" s="3">
        <v>43248</v>
      </c>
      <c r="F668">
        <f t="shared" si="20"/>
        <v>5</v>
      </c>
      <c r="G668">
        <f t="shared" si="21"/>
        <v>2018</v>
      </c>
    </row>
    <row r="669" spans="1:7" ht="24" x14ac:dyDescent="0.25">
      <c r="A669" s="2" t="s">
        <v>2109</v>
      </c>
      <c r="B669" s="2" t="s">
        <v>478</v>
      </c>
      <c r="C669" s="2" t="s">
        <v>2110</v>
      </c>
      <c r="D669" s="2" t="s">
        <v>940</v>
      </c>
      <c r="E669" s="3">
        <v>43248</v>
      </c>
      <c r="F669">
        <f t="shared" si="20"/>
        <v>5</v>
      </c>
      <c r="G669">
        <f t="shared" si="21"/>
        <v>2018</v>
      </c>
    </row>
    <row r="670" spans="1:7" x14ac:dyDescent="0.25">
      <c r="A670" s="2" t="s">
        <v>1227</v>
      </c>
      <c r="B670" s="2" t="s">
        <v>22</v>
      </c>
      <c r="C670" s="2" t="s">
        <v>2111</v>
      </c>
      <c r="D670" s="2" t="s">
        <v>2112</v>
      </c>
      <c r="E670" s="3">
        <v>43247</v>
      </c>
      <c r="F670">
        <f t="shared" si="20"/>
        <v>5</v>
      </c>
      <c r="G670">
        <f t="shared" si="21"/>
        <v>2018</v>
      </c>
    </row>
    <row r="671" spans="1:7" x14ac:dyDescent="0.25">
      <c r="A671" s="2" t="s">
        <v>2113</v>
      </c>
      <c r="B671" s="2" t="s">
        <v>2114</v>
      </c>
      <c r="C671" s="2" t="s">
        <v>2115</v>
      </c>
      <c r="D671" s="2" t="s">
        <v>168</v>
      </c>
      <c r="E671" s="3">
        <v>43247</v>
      </c>
      <c r="F671">
        <f t="shared" si="20"/>
        <v>5</v>
      </c>
      <c r="G671">
        <f t="shared" si="21"/>
        <v>2018</v>
      </c>
    </row>
    <row r="672" spans="1:7" x14ac:dyDescent="0.25">
      <c r="A672" s="2" t="s">
        <v>208</v>
      </c>
      <c r="B672" s="2" t="s">
        <v>381</v>
      </c>
      <c r="C672" s="2" t="s">
        <v>2116</v>
      </c>
      <c r="D672" s="2" t="s">
        <v>2117</v>
      </c>
      <c r="E672" s="3">
        <v>43245</v>
      </c>
      <c r="F672">
        <f t="shared" si="20"/>
        <v>5</v>
      </c>
      <c r="G672">
        <f t="shared" si="21"/>
        <v>2018</v>
      </c>
    </row>
    <row r="673" spans="1:7" x14ac:dyDescent="0.25">
      <c r="A673" s="2" t="s">
        <v>2118</v>
      </c>
      <c r="B673" s="2" t="s">
        <v>2119</v>
      </c>
      <c r="C673" s="2" t="s">
        <v>2120</v>
      </c>
      <c r="D673" s="2" t="s">
        <v>221</v>
      </c>
      <c r="E673" s="3">
        <v>43245</v>
      </c>
      <c r="F673">
        <f t="shared" si="20"/>
        <v>5</v>
      </c>
      <c r="G673">
        <f t="shared" si="21"/>
        <v>2018</v>
      </c>
    </row>
    <row r="674" spans="1:7" x14ac:dyDescent="0.25">
      <c r="A674" s="2" t="s">
        <v>2121</v>
      </c>
      <c r="B674" s="2" t="s">
        <v>2122</v>
      </c>
      <c r="C674" s="2" t="s">
        <v>2123</v>
      </c>
      <c r="D674" s="2" t="s">
        <v>2124</v>
      </c>
      <c r="E674" s="3">
        <v>43245</v>
      </c>
      <c r="F674">
        <f t="shared" si="20"/>
        <v>5</v>
      </c>
      <c r="G674">
        <f t="shared" si="21"/>
        <v>2018</v>
      </c>
    </row>
    <row r="675" spans="1:7" x14ac:dyDescent="0.25">
      <c r="A675" s="2" t="s">
        <v>2125</v>
      </c>
      <c r="B675" s="2" t="s">
        <v>2126</v>
      </c>
      <c r="C675" s="2" t="s">
        <v>2127</v>
      </c>
      <c r="D675" s="2" t="s">
        <v>2128</v>
      </c>
      <c r="E675" s="3">
        <v>43245</v>
      </c>
      <c r="F675">
        <f t="shared" si="20"/>
        <v>5</v>
      </c>
      <c r="G675">
        <f t="shared" si="21"/>
        <v>2018</v>
      </c>
    </row>
    <row r="676" spans="1:7" x14ac:dyDescent="0.25">
      <c r="A676" s="2" t="s">
        <v>2129</v>
      </c>
      <c r="B676" s="2" t="s">
        <v>2130</v>
      </c>
      <c r="C676" s="2" t="s">
        <v>2131</v>
      </c>
      <c r="D676" s="2" t="s">
        <v>2132</v>
      </c>
      <c r="E676" s="3">
        <v>43244</v>
      </c>
      <c r="F676">
        <f t="shared" si="20"/>
        <v>5</v>
      </c>
      <c r="G676">
        <f t="shared" si="21"/>
        <v>2018</v>
      </c>
    </row>
    <row r="677" spans="1:7" x14ac:dyDescent="0.25">
      <c r="A677" s="2" t="s">
        <v>29</v>
      </c>
      <c r="B677" s="2" t="s">
        <v>2133</v>
      </c>
      <c r="C677" s="2" t="s">
        <v>2134</v>
      </c>
      <c r="D677" s="2" t="s">
        <v>2135</v>
      </c>
      <c r="E677" s="3">
        <v>43244</v>
      </c>
      <c r="F677">
        <f t="shared" si="20"/>
        <v>5</v>
      </c>
      <c r="G677">
        <f t="shared" si="21"/>
        <v>2018</v>
      </c>
    </row>
    <row r="678" spans="1:7" x14ac:dyDescent="0.25">
      <c r="A678" s="2" t="s">
        <v>1747</v>
      </c>
      <c r="B678" s="2" t="s">
        <v>2136</v>
      </c>
      <c r="C678" s="2" t="s">
        <v>2137</v>
      </c>
      <c r="D678" s="2" t="s">
        <v>602</v>
      </c>
      <c r="E678" s="3">
        <v>43242</v>
      </c>
      <c r="F678">
        <f t="shared" si="20"/>
        <v>5</v>
      </c>
      <c r="G678">
        <f t="shared" si="21"/>
        <v>2018</v>
      </c>
    </row>
    <row r="679" spans="1:7" x14ac:dyDescent="0.25">
      <c r="A679" s="2" t="s">
        <v>2138</v>
      </c>
      <c r="B679" s="2" t="s">
        <v>2139</v>
      </c>
      <c r="C679" s="2" t="s">
        <v>2140</v>
      </c>
      <c r="D679" s="2" t="s">
        <v>2141</v>
      </c>
      <c r="E679" s="3">
        <v>43242</v>
      </c>
      <c r="F679">
        <f t="shared" si="20"/>
        <v>5</v>
      </c>
      <c r="G679">
        <f t="shared" si="21"/>
        <v>2018</v>
      </c>
    </row>
    <row r="680" spans="1:7" x14ac:dyDescent="0.25">
      <c r="A680" s="2" t="s">
        <v>2142</v>
      </c>
      <c r="B680" s="2" t="s">
        <v>2143</v>
      </c>
      <c r="C680" s="2" t="s">
        <v>2144</v>
      </c>
      <c r="D680" s="2" t="s">
        <v>365</v>
      </c>
      <c r="E680" s="3">
        <v>43242</v>
      </c>
      <c r="F680">
        <f t="shared" si="20"/>
        <v>5</v>
      </c>
      <c r="G680">
        <f t="shared" si="21"/>
        <v>2018</v>
      </c>
    </row>
    <row r="681" spans="1:7" x14ac:dyDescent="0.25">
      <c r="A681" s="2" t="s">
        <v>2145</v>
      </c>
      <c r="B681" s="2" t="s">
        <v>2146</v>
      </c>
      <c r="C681" s="2" t="s">
        <v>437</v>
      </c>
      <c r="D681" s="2" t="s">
        <v>51</v>
      </c>
      <c r="E681" s="3">
        <v>43242</v>
      </c>
      <c r="F681">
        <f t="shared" si="20"/>
        <v>5</v>
      </c>
      <c r="G681">
        <f t="shared" si="21"/>
        <v>2018</v>
      </c>
    </row>
    <row r="682" spans="1:7" x14ac:dyDescent="0.25">
      <c r="A682" s="2" t="s">
        <v>2147</v>
      </c>
      <c r="B682" s="2" t="s">
        <v>550</v>
      </c>
      <c r="C682" s="2" t="s">
        <v>490</v>
      </c>
      <c r="D682" s="2" t="s">
        <v>287</v>
      </c>
      <c r="E682" s="3">
        <v>43242</v>
      </c>
      <c r="F682">
        <f t="shared" si="20"/>
        <v>5</v>
      </c>
      <c r="G682">
        <f t="shared" si="21"/>
        <v>2018</v>
      </c>
    </row>
    <row r="683" spans="1:7" ht="24" x14ac:dyDescent="0.25">
      <c r="A683" s="2" t="s">
        <v>2148</v>
      </c>
      <c r="B683" s="2" t="s">
        <v>2149</v>
      </c>
      <c r="C683" s="2" t="s">
        <v>2150</v>
      </c>
      <c r="D683" s="2" t="s">
        <v>2151</v>
      </c>
      <c r="E683" s="3">
        <v>43241</v>
      </c>
      <c r="F683">
        <f t="shared" si="20"/>
        <v>5</v>
      </c>
      <c r="G683">
        <f t="shared" si="21"/>
        <v>2018</v>
      </c>
    </row>
    <row r="684" spans="1:7" x14ac:dyDescent="0.25">
      <c r="A684" s="2" t="s">
        <v>234</v>
      </c>
      <c r="B684" s="2" t="s">
        <v>2152</v>
      </c>
      <c r="C684" s="2" t="s">
        <v>2153</v>
      </c>
      <c r="D684" s="2" t="s">
        <v>2154</v>
      </c>
      <c r="E684" s="3">
        <v>43241</v>
      </c>
      <c r="F684">
        <f t="shared" si="20"/>
        <v>5</v>
      </c>
      <c r="G684">
        <f t="shared" si="21"/>
        <v>2018</v>
      </c>
    </row>
    <row r="685" spans="1:7" x14ac:dyDescent="0.25">
      <c r="A685" s="2" t="s">
        <v>1418</v>
      </c>
      <c r="B685" s="2" t="s">
        <v>2155</v>
      </c>
      <c r="C685" s="2" t="s">
        <v>2156</v>
      </c>
      <c r="D685" s="2" t="s">
        <v>2157</v>
      </c>
      <c r="E685" s="3">
        <v>43239</v>
      </c>
      <c r="F685">
        <f t="shared" si="20"/>
        <v>5</v>
      </c>
      <c r="G685">
        <f t="shared" si="21"/>
        <v>2018</v>
      </c>
    </row>
    <row r="686" spans="1:7" x14ac:dyDescent="0.25">
      <c r="A686" s="2" t="s">
        <v>1198</v>
      </c>
      <c r="B686" s="2" t="s">
        <v>2158</v>
      </c>
      <c r="C686" s="2" t="s">
        <v>440</v>
      </c>
      <c r="D686" s="2" t="s">
        <v>1890</v>
      </c>
      <c r="E686" s="3">
        <v>43238</v>
      </c>
      <c r="F686">
        <f t="shared" si="20"/>
        <v>5</v>
      </c>
      <c r="G686">
        <f t="shared" si="21"/>
        <v>2018</v>
      </c>
    </row>
    <row r="687" spans="1:7" x14ac:dyDescent="0.25">
      <c r="A687" s="2" t="s">
        <v>1590</v>
      </c>
      <c r="B687" s="2" t="s">
        <v>2159</v>
      </c>
      <c r="C687" s="2" t="s">
        <v>2160</v>
      </c>
      <c r="D687" s="2" t="s">
        <v>2161</v>
      </c>
      <c r="E687" s="3">
        <v>43231</v>
      </c>
      <c r="F687">
        <f t="shared" si="20"/>
        <v>5</v>
      </c>
      <c r="G687">
        <f t="shared" si="21"/>
        <v>2018</v>
      </c>
    </row>
    <row r="688" spans="1:7" x14ac:dyDescent="0.25">
      <c r="A688" s="2" t="s">
        <v>2162</v>
      </c>
      <c r="B688" s="2" t="s">
        <v>2163</v>
      </c>
      <c r="C688" s="2" t="s">
        <v>140</v>
      </c>
      <c r="D688" s="2" t="s">
        <v>2164</v>
      </c>
      <c r="E688" s="3">
        <v>43231</v>
      </c>
      <c r="F688">
        <f t="shared" si="20"/>
        <v>5</v>
      </c>
      <c r="G688">
        <f t="shared" si="21"/>
        <v>2018</v>
      </c>
    </row>
    <row r="689" spans="1:7" x14ac:dyDescent="0.25">
      <c r="A689" s="2" t="s">
        <v>1002</v>
      </c>
      <c r="B689" s="2" t="s">
        <v>2165</v>
      </c>
      <c r="C689" s="2" t="s">
        <v>2166</v>
      </c>
      <c r="D689" s="2" t="s">
        <v>2167</v>
      </c>
      <c r="E689" s="3">
        <v>43231</v>
      </c>
      <c r="F689">
        <f t="shared" si="20"/>
        <v>5</v>
      </c>
      <c r="G689">
        <f t="shared" si="21"/>
        <v>2018</v>
      </c>
    </row>
    <row r="690" spans="1:7" ht="24" x14ac:dyDescent="0.25">
      <c r="A690" s="2" t="s">
        <v>2168</v>
      </c>
      <c r="B690" s="2" t="s">
        <v>2169</v>
      </c>
      <c r="C690" s="2" t="s">
        <v>2170</v>
      </c>
      <c r="D690" s="2" t="s">
        <v>2171</v>
      </c>
      <c r="E690" s="3">
        <v>43230</v>
      </c>
      <c r="F690">
        <f t="shared" si="20"/>
        <v>5</v>
      </c>
      <c r="G690">
        <f t="shared" si="21"/>
        <v>2018</v>
      </c>
    </row>
    <row r="691" spans="1:7" x14ac:dyDescent="0.25">
      <c r="A691" s="2" t="s">
        <v>2172</v>
      </c>
      <c r="B691" s="2" t="s">
        <v>2173</v>
      </c>
      <c r="C691" s="2" t="s">
        <v>440</v>
      </c>
      <c r="D691" s="2" t="s">
        <v>2174</v>
      </c>
      <c r="E691" s="3">
        <v>43230</v>
      </c>
      <c r="F691">
        <f t="shared" si="20"/>
        <v>5</v>
      </c>
      <c r="G691">
        <f t="shared" si="21"/>
        <v>2018</v>
      </c>
    </row>
    <row r="692" spans="1:7" ht="24" x14ac:dyDescent="0.25">
      <c r="A692" s="2" t="s">
        <v>2175</v>
      </c>
      <c r="B692" s="2" t="s">
        <v>2176</v>
      </c>
      <c r="C692" s="2" t="s">
        <v>2177</v>
      </c>
      <c r="D692" s="2" t="s">
        <v>256</v>
      </c>
      <c r="E692" s="3">
        <v>43226</v>
      </c>
      <c r="F692">
        <f t="shared" si="20"/>
        <v>5</v>
      </c>
      <c r="G692">
        <f t="shared" si="21"/>
        <v>2018</v>
      </c>
    </row>
    <row r="693" spans="1:7" ht="24" x14ac:dyDescent="0.25">
      <c r="A693" s="2" t="s">
        <v>2178</v>
      </c>
      <c r="B693" s="2" t="s">
        <v>2179</v>
      </c>
      <c r="C693" s="2" t="s">
        <v>2180</v>
      </c>
      <c r="D693" s="2" t="s">
        <v>2181</v>
      </c>
      <c r="E693" s="3">
        <v>43218</v>
      </c>
      <c r="F693">
        <f t="shared" si="20"/>
        <v>4</v>
      </c>
      <c r="G693">
        <f t="shared" si="21"/>
        <v>2018</v>
      </c>
    </row>
    <row r="694" spans="1:7" ht="36" x14ac:dyDescent="0.25">
      <c r="A694" s="2" t="s">
        <v>2182</v>
      </c>
      <c r="B694" s="2" t="s">
        <v>2183</v>
      </c>
      <c r="C694" s="2" t="s">
        <v>609</v>
      </c>
      <c r="D694" s="2" t="s">
        <v>2184</v>
      </c>
      <c r="E694" s="3">
        <v>43216</v>
      </c>
      <c r="F694">
        <f t="shared" si="20"/>
        <v>4</v>
      </c>
      <c r="G694">
        <f t="shared" si="21"/>
        <v>2018</v>
      </c>
    </row>
    <row r="695" spans="1:7" ht="24" x14ac:dyDescent="0.25">
      <c r="A695" s="2" t="s">
        <v>1187</v>
      </c>
      <c r="B695" s="2" t="s">
        <v>181</v>
      </c>
      <c r="C695" s="2" t="s">
        <v>2185</v>
      </c>
      <c r="D695" s="2" t="s">
        <v>2186</v>
      </c>
      <c r="E695" s="3">
        <v>43214</v>
      </c>
      <c r="F695">
        <f t="shared" si="20"/>
        <v>4</v>
      </c>
      <c r="G695">
        <f t="shared" si="21"/>
        <v>2018</v>
      </c>
    </row>
    <row r="696" spans="1:7" x14ac:dyDescent="0.25">
      <c r="A696" s="2" t="s">
        <v>197</v>
      </c>
      <c r="B696" s="2" t="s">
        <v>2187</v>
      </c>
      <c r="C696" s="2" t="s">
        <v>2188</v>
      </c>
      <c r="D696" s="2" t="s">
        <v>2189</v>
      </c>
      <c r="E696" s="3">
        <v>43212</v>
      </c>
      <c r="F696">
        <f t="shared" si="20"/>
        <v>4</v>
      </c>
      <c r="G696">
        <f t="shared" si="21"/>
        <v>2018</v>
      </c>
    </row>
    <row r="697" spans="1:7" ht="24" x14ac:dyDescent="0.25">
      <c r="A697" s="2" t="s">
        <v>2190</v>
      </c>
      <c r="B697" s="2" t="s">
        <v>2191</v>
      </c>
      <c r="C697" s="2" t="s">
        <v>320</v>
      </c>
      <c r="D697" s="2" t="s">
        <v>2192</v>
      </c>
      <c r="E697" s="3">
        <v>43207</v>
      </c>
      <c r="F697">
        <f t="shared" si="20"/>
        <v>4</v>
      </c>
      <c r="G697">
        <f t="shared" si="21"/>
        <v>2018</v>
      </c>
    </row>
    <row r="698" spans="1:7" ht="24" x14ac:dyDescent="0.25">
      <c r="A698" s="2" t="s">
        <v>2193</v>
      </c>
      <c r="B698" s="2" t="s">
        <v>105</v>
      </c>
      <c r="C698" s="2" t="s">
        <v>2194</v>
      </c>
      <c r="D698" s="2" t="s">
        <v>602</v>
      </c>
      <c r="E698" s="3">
        <v>43206</v>
      </c>
      <c r="F698">
        <f t="shared" si="20"/>
        <v>4</v>
      </c>
      <c r="G698">
        <f t="shared" si="21"/>
        <v>2018</v>
      </c>
    </row>
    <row r="699" spans="1:7" x14ac:dyDescent="0.25">
      <c r="A699" s="2" t="s">
        <v>2195</v>
      </c>
      <c r="B699" s="2" t="s">
        <v>2196</v>
      </c>
      <c r="C699" s="2" t="s">
        <v>2197</v>
      </c>
      <c r="D699" s="2" t="s">
        <v>2198</v>
      </c>
      <c r="E699" s="3">
        <v>43204</v>
      </c>
      <c r="F699">
        <f t="shared" si="20"/>
        <v>4</v>
      </c>
      <c r="G699">
        <f t="shared" si="21"/>
        <v>2018</v>
      </c>
    </row>
    <row r="700" spans="1:7" x14ac:dyDescent="0.25">
      <c r="A700" s="2" t="s">
        <v>2199</v>
      </c>
      <c r="B700" s="2" t="s">
        <v>333</v>
      </c>
      <c r="C700" s="2" t="s">
        <v>501</v>
      </c>
      <c r="D700" s="2" t="s">
        <v>2200</v>
      </c>
      <c r="E700" s="3">
        <v>43201</v>
      </c>
      <c r="F700">
        <f t="shared" si="20"/>
        <v>4</v>
      </c>
      <c r="G700">
        <f t="shared" si="21"/>
        <v>2018</v>
      </c>
    </row>
    <row r="701" spans="1:7" x14ac:dyDescent="0.25">
      <c r="A701" s="2" t="s">
        <v>2201</v>
      </c>
      <c r="B701" s="2" t="s">
        <v>68</v>
      </c>
      <c r="C701" s="2" t="s">
        <v>2202</v>
      </c>
      <c r="D701" s="2" t="s">
        <v>2203</v>
      </c>
      <c r="E701" s="3">
        <v>43195</v>
      </c>
      <c r="F701">
        <f t="shared" si="20"/>
        <v>4</v>
      </c>
      <c r="G701">
        <f t="shared" si="21"/>
        <v>2018</v>
      </c>
    </row>
    <row r="702" spans="1:7" ht="24" x14ac:dyDescent="0.25">
      <c r="A702" s="2" t="s">
        <v>859</v>
      </c>
      <c r="B702" s="2" t="s">
        <v>2204</v>
      </c>
      <c r="C702" s="2" t="s">
        <v>174</v>
      </c>
      <c r="D702" s="2" t="s">
        <v>2205</v>
      </c>
      <c r="E702" s="3">
        <v>43192</v>
      </c>
      <c r="F702">
        <f t="shared" si="20"/>
        <v>4</v>
      </c>
      <c r="G702">
        <f t="shared" si="21"/>
        <v>2018</v>
      </c>
    </row>
    <row r="703" spans="1:7" x14ac:dyDescent="0.25">
      <c r="A703" s="2" t="s">
        <v>2206</v>
      </c>
      <c r="B703" s="2" t="s">
        <v>2207</v>
      </c>
      <c r="C703" s="2" t="s">
        <v>140</v>
      </c>
      <c r="D703" s="2" t="s">
        <v>1860</v>
      </c>
      <c r="E703" s="3">
        <v>43187</v>
      </c>
      <c r="F703">
        <f t="shared" si="20"/>
        <v>3</v>
      </c>
      <c r="G703">
        <f t="shared" si="21"/>
        <v>2018</v>
      </c>
    </row>
    <row r="704" spans="1:7" x14ac:dyDescent="0.25">
      <c r="A704" s="2" t="s">
        <v>2208</v>
      </c>
      <c r="B704" s="2" t="s">
        <v>2209</v>
      </c>
      <c r="C704" s="2" t="s">
        <v>2210</v>
      </c>
      <c r="D704" s="2" t="s">
        <v>2211</v>
      </c>
      <c r="E704" s="3">
        <v>43185</v>
      </c>
      <c r="F704">
        <f t="shared" si="20"/>
        <v>3</v>
      </c>
      <c r="G704">
        <f t="shared" si="21"/>
        <v>2018</v>
      </c>
    </row>
    <row r="705" spans="1:7" x14ac:dyDescent="0.25">
      <c r="A705" s="2" t="s">
        <v>2212</v>
      </c>
      <c r="B705" s="2" t="s">
        <v>381</v>
      </c>
      <c r="C705" s="2" t="s">
        <v>2213</v>
      </c>
      <c r="D705" s="2" t="s">
        <v>419</v>
      </c>
      <c r="E705" s="3">
        <v>43178</v>
      </c>
      <c r="F705">
        <f t="shared" si="20"/>
        <v>3</v>
      </c>
      <c r="G705">
        <f t="shared" si="21"/>
        <v>2018</v>
      </c>
    </row>
    <row r="706" spans="1:7" x14ac:dyDescent="0.25">
      <c r="A706" s="2" t="s">
        <v>2214</v>
      </c>
      <c r="B706" s="2" t="s">
        <v>2215</v>
      </c>
      <c r="C706" s="2" t="s">
        <v>65</v>
      </c>
      <c r="D706" s="2" t="s">
        <v>2216</v>
      </c>
      <c r="E706" s="3">
        <v>43178</v>
      </c>
      <c r="F706">
        <f t="shared" si="20"/>
        <v>3</v>
      </c>
      <c r="G706">
        <f t="shared" si="21"/>
        <v>2018</v>
      </c>
    </row>
    <row r="707" spans="1:7" x14ac:dyDescent="0.25">
      <c r="A707" s="2" t="s">
        <v>2217</v>
      </c>
      <c r="B707" s="2" t="s">
        <v>2218</v>
      </c>
      <c r="C707" s="2" t="s">
        <v>2219</v>
      </c>
      <c r="D707" s="2" t="s">
        <v>2220</v>
      </c>
      <c r="E707" s="3">
        <v>43176</v>
      </c>
      <c r="F707">
        <f t="shared" ref="F707:F770" si="22">MONTH(E707)</f>
        <v>3</v>
      </c>
      <c r="G707">
        <f t="shared" ref="G707:G770" si="23">YEAR(E707)</f>
        <v>2018</v>
      </c>
    </row>
    <row r="708" spans="1:7" x14ac:dyDescent="0.25">
      <c r="A708" s="2" t="s">
        <v>2168</v>
      </c>
      <c r="B708" s="2" t="s">
        <v>2169</v>
      </c>
      <c r="C708" s="2" t="s">
        <v>2221</v>
      </c>
      <c r="D708" s="2" t="s">
        <v>2222</v>
      </c>
      <c r="E708" s="3">
        <v>43176</v>
      </c>
      <c r="F708">
        <f t="shared" si="22"/>
        <v>3</v>
      </c>
      <c r="G708">
        <f t="shared" si="23"/>
        <v>2018</v>
      </c>
    </row>
    <row r="709" spans="1:7" ht="24" x14ac:dyDescent="0.25">
      <c r="A709" s="2" t="s">
        <v>2223</v>
      </c>
      <c r="B709" s="2" t="s">
        <v>2224</v>
      </c>
      <c r="C709" s="2" t="s">
        <v>2225</v>
      </c>
      <c r="D709" s="2" t="s">
        <v>2226</v>
      </c>
      <c r="E709" s="3">
        <v>43175</v>
      </c>
      <c r="F709">
        <f t="shared" si="22"/>
        <v>3</v>
      </c>
      <c r="G709">
        <f t="shared" si="23"/>
        <v>2018</v>
      </c>
    </row>
    <row r="710" spans="1:7" x14ac:dyDescent="0.25">
      <c r="A710" s="2" t="s">
        <v>866</v>
      </c>
      <c r="B710" s="2" t="s">
        <v>2227</v>
      </c>
      <c r="C710" s="2" t="s">
        <v>2228</v>
      </c>
      <c r="D710" s="2" t="s">
        <v>2229</v>
      </c>
      <c r="E710" s="3">
        <v>43174</v>
      </c>
      <c r="F710">
        <f t="shared" si="22"/>
        <v>3</v>
      </c>
      <c r="G710">
        <f t="shared" si="23"/>
        <v>2018</v>
      </c>
    </row>
    <row r="711" spans="1:7" x14ac:dyDescent="0.25">
      <c r="A711" s="2" t="s">
        <v>2230</v>
      </c>
      <c r="B711" s="2" t="s">
        <v>232</v>
      </c>
      <c r="C711" s="2" t="s">
        <v>65</v>
      </c>
      <c r="D711" s="2" t="s">
        <v>168</v>
      </c>
      <c r="E711" s="3">
        <v>43173</v>
      </c>
      <c r="F711">
        <f t="shared" si="22"/>
        <v>3</v>
      </c>
      <c r="G711">
        <f t="shared" si="23"/>
        <v>2018</v>
      </c>
    </row>
    <row r="712" spans="1:7" ht="36" x14ac:dyDescent="0.25">
      <c r="A712" s="2" t="s">
        <v>2231</v>
      </c>
      <c r="B712" s="2" t="s">
        <v>2232</v>
      </c>
      <c r="C712" s="2" t="s">
        <v>2233</v>
      </c>
      <c r="D712" s="2" t="s">
        <v>2234</v>
      </c>
      <c r="E712" s="3">
        <v>43171</v>
      </c>
      <c r="F712">
        <f t="shared" si="22"/>
        <v>3</v>
      </c>
      <c r="G712">
        <f t="shared" si="23"/>
        <v>2018</v>
      </c>
    </row>
    <row r="713" spans="1:7" x14ac:dyDescent="0.25">
      <c r="A713" s="2" t="s">
        <v>2235</v>
      </c>
      <c r="B713" s="2" t="s">
        <v>2236</v>
      </c>
      <c r="C713" s="2" t="s">
        <v>140</v>
      </c>
      <c r="D713" s="2" t="s">
        <v>957</v>
      </c>
      <c r="E713" s="3">
        <v>43171</v>
      </c>
      <c r="F713">
        <f t="shared" si="22"/>
        <v>3</v>
      </c>
      <c r="G713">
        <f t="shared" si="23"/>
        <v>2018</v>
      </c>
    </row>
    <row r="714" spans="1:7" x14ac:dyDescent="0.25">
      <c r="A714" s="2" t="s">
        <v>2237</v>
      </c>
      <c r="B714" s="2" t="s">
        <v>2238</v>
      </c>
      <c r="C714" s="2" t="s">
        <v>2239</v>
      </c>
      <c r="D714" s="2" t="s">
        <v>2240</v>
      </c>
      <c r="E714" s="3">
        <v>43166</v>
      </c>
      <c r="F714">
        <f t="shared" si="22"/>
        <v>3</v>
      </c>
      <c r="G714">
        <f t="shared" si="23"/>
        <v>2018</v>
      </c>
    </row>
    <row r="715" spans="1:7" x14ac:dyDescent="0.25">
      <c r="A715" s="2" t="s">
        <v>2241</v>
      </c>
      <c r="B715" s="2" t="s">
        <v>2242</v>
      </c>
      <c r="C715" s="2" t="s">
        <v>2243</v>
      </c>
      <c r="D715" s="2" t="s">
        <v>114</v>
      </c>
      <c r="E715" s="3">
        <v>43164</v>
      </c>
      <c r="F715">
        <f t="shared" si="22"/>
        <v>3</v>
      </c>
      <c r="G715">
        <f t="shared" si="23"/>
        <v>2018</v>
      </c>
    </row>
    <row r="716" spans="1:7" x14ac:dyDescent="0.25">
      <c r="A716" s="2" t="s">
        <v>2244</v>
      </c>
      <c r="B716" s="2" t="s">
        <v>68</v>
      </c>
      <c r="C716" s="2" t="s">
        <v>91</v>
      </c>
      <c r="D716" s="2" t="s">
        <v>365</v>
      </c>
      <c r="E716" s="3">
        <v>43164</v>
      </c>
      <c r="F716">
        <f t="shared" si="22"/>
        <v>3</v>
      </c>
      <c r="G716">
        <f t="shared" si="23"/>
        <v>2018</v>
      </c>
    </row>
    <row r="717" spans="1:7" x14ac:dyDescent="0.25">
      <c r="A717" s="2" t="s">
        <v>2245</v>
      </c>
      <c r="B717" s="2" t="s">
        <v>2246</v>
      </c>
      <c r="C717" s="2" t="s">
        <v>2247</v>
      </c>
      <c r="D717" s="2" t="s">
        <v>2248</v>
      </c>
      <c r="E717" s="3">
        <v>43164</v>
      </c>
      <c r="F717">
        <f t="shared" si="22"/>
        <v>3</v>
      </c>
      <c r="G717">
        <f t="shared" si="23"/>
        <v>2018</v>
      </c>
    </row>
    <row r="718" spans="1:7" ht="24" x14ac:dyDescent="0.25">
      <c r="A718" s="2" t="s">
        <v>2249</v>
      </c>
      <c r="B718" s="2" t="s">
        <v>2250</v>
      </c>
      <c r="C718" s="2" t="s">
        <v>2251</v>
      </c>
      <c r="D718" s="2" t="s">
        <v>2252</v>
      </c>
      <c r="E718" s="3">
        <v>43164</v>
      </c>
      <c r="F718">
        <f t="shared" si="22"/>
        <v>3</v>
      </c>
      <c r="G718">
        <f t="shared" si="23"/>
        <v>2018</v>
      </c>
    </row>
    <row r="719" spans="1:7" ht="24" x14ac:dyDescent="0.25">
      <c r="A719" s="2" t="s">
        <v>2253</v>
      </c>
      <c r="B719" s="2" t="s">
        <v>535</v>
      </c>
      <c r="C719" s="2" t="s">
        <v>2254</v>
      </c>
      <c r="D719" s="2" t="s">
        <v>2255</v>
      </c>
      <c r="E719" s="3">
        <v>43163</v>
      </c>
      <c r="F719">
        <f t="shared" si="22"/>
        <v>3</v>
      </c>
      <c r="G719">
        <f t="shared" si="23"/>
        <v>2018</v>
      </c>
    </row>
    <row r="720" spans="1:7" x14ac:dyDescent="0.25">
      <c r="A720" s="2" t="s">
        <v>2256</v>
      </c>
      <c r="B720" s="2" t="s">
        <v>2257</v>
      </c>
      <c r="C720" s="2" t="s">
        <v>2258</v>
      </c>
      <c r="D720" s="2" t="s">
        <v>2259</v>
      </c>
      <c r="E720" s="3">
        <v>43162</v>
      </c>
      <c r="F720">
        <f t="shared" si="22"/>
        <v>3</v>
      </c>
      <c r="G720">
        <f t="shared" si="23"/>
        <v>2018</v>
      </c>
    </row>
    <row r="721" spans="1:7" x14ac:dyDescent="0.25">
      <c r="A721" s="2" t="s">
        <v>396</v>
      </c>
      <c r="B721" s="2" t="s">
        <v>668</v>
      </c>
      <c r="C721" s="2" t="s">
        <v>91</v>
      </c>
      <c r="D721" s="2" t="s">
        <v>1672</v>
      </c>
      <c r="E721" s="3">
        <v>43161</v>
      </c>
      <c r="F721">
        <f t="shared" si="22"/>
        <v>3</v>
      </c>
      <c r="G721">
        <f t="shared" si="23"/>
        <v>2018</v>
      </c>
    </row>
    <row r="722" spans="1:7" ht="24" x14ac:dyDescent="0.25">
      <c r="A722" s="2" t="s">
        <v>176</v>
      </c>
      <c r="B722" s="2" t="s">
        <v>2260</v>
      </c>
      <c r="C722" s="2" t="s">
        <v>2261</v>
      </c>
      <c r="D722" s="2" t="s">
        <v>201</v>
      </c>
      <c r="E722" s="3">
        <v>43160</v>
      </c>
      <c r="F722">
        <f t="shared" si="22"/>
        <v>3</v>
      </c>
      <c r="G722">
        <f t="shared" si="23"/>
        <v>2018</v>
      </c>
    </row>
    <row r="723" spans="1:7" x14ac:dyDescent="0.25">
      <c r="A723" s="2" t="s">
        <v>2262</v>
      </c>
      <c r="B723" s="2" t="s">
        <v>2263</v>
      </c>
      <c r="C723" s="2" t="s">
        <v>2264</v>
      </c>
      <c r="D723" s="2" t="s">
        <v>168</v>
      </c>
      <c r="E723" s="3">
        <v>43159</v>
      </c>
      <c r="F723">
        <f t="shared" si="22"/>
        <v>2</v>
      </c>
      <c r="G723">
        <f t="shared" si="23"/>
        <v>2018</v>
      </c>
    </row>
    <row r="724" spans="1:7" x14ac:dyDescent="0.25">
      <c r="A724" s="2" t="s">
        <v>2265</v>
      </c>
      <c r="B724" s="2" t="s">
        <v>1703</v>
      </c>
      <c r="C724" s="2" t="s">
        <v>387</v>
      </c>
      <c r="D724" s="2" t="s">
        <v>670</v>
      </c>
      <c r="E724" s="3">
        <v>43159</v>
      </c>
      <c r="F724">
        <f t="shared" si="22"/>
        <v>2</v>
      </c>
      <c r="G724">
        <f t="shared" si="23"/>
        <v>2018</v>
      </c>
    </row>
    <row r="725" spans="1:7" x14ac:dyDescent="0.25">
      <c r="A725" s="2" t="s">
        <v>2266</v>
      </c>
      <c r="B725" s="2" t="s">
        <v>2267</v>
      </c>
      <c r="C725" s="2" t="s">
        <v>57</v>
      </c>
      <c r="D725" s="2" t="s">
        <v>2268</v>
      </c>
      <c r="E725" s="3">
        <v>43159</v>
      </c>
      <c r="F725">
        <f t="shared" si="22"/>
        <v>2</v>
      </c>
      <c r="G725">
        <f t="shared" si="23"/>
        <v>2018</v>
      </c>
    </row>
    <row r="726" spans="1:7" x14ac:dyDescent="0.25">
      <c r="A726" s="2" t="s">
        <v>1315</v>
      </c>
      <c r="B726" s="2" t="s">
        <v>2269</v>
      </c>
      <c r="C726" s="2" t="s">
        <v>351</v>
      </c>
      <c r="D726" s="2" t="s">
        <v>297</v>
      </c>
      <c r="E726" s="3">
        <v>43159</v>
      </c>
      <c r="F726">
        <f t="shared" si="22"/>
        <v>2</v>
      </c>
      <c r="G726">
        <f t="shared" si="23"/>
        <v>2018</v>
      </c>
    </row>
    <row r="727" spans="1:7" x14ac:dyDescent="0.25">
      <c r="A727" s="2" t="s">
        <v>2270</v>
      </c>
      <c r="B727" s="2" t="s">
        <v>2271</v>
      </c>
      <c r="C727" s="2" t="s">
        <v>2272</v>
      </c>
      <c r="D727" s="2" t="s">
        <v>2273</v>
      </c>
      <c r="E727" s="3">
        <v>43159</v>
      </c>
      <c r="F727">
        <f t="shared" si="22"/>
        <v>2</v>
      </c>
      <c r="G727">
        <f t="shared" si="23"/>
        <v>2018</v>
      </c>
    </row>
    <row r="728" spans="1:7" x14ac:dyDescent="0.25">
      <c r="A728" s="2" t="s">
        <v>2169</v>
      </c>
      <c r="B728" s="2" t="s">
        <v>2274</v>
      </c>
      <c r="C728" s="2" t="s">
        <v>2275</v>
      </c>
      <c r="D728" s="2" t="s">
        <v>2276</v>
      </c>
      <c r="E728" s="3">
        <v>43158</v>
      </c>
      <c r="F728">
        <f t="shared" si="22"/>
        <v>2</v>
      </c>
      <c r="G728">
        <f t="shared" si="23"/>
        <v>2018</v>
      </c>
    </row>
    <row r="729" spans="1:7" x14ac:dyDescent="0.25">
      <c r="A729" s="2" t="s">
        <v>2277</v>
      </c>
      <c r="B729" s="2" t="s">
        <v>68</v>
      </c>
      <c r="C729" s="2" t="s">
        <v>2278</v>
      </c>
      <c r="D729" s="2" t="s">
        <v>168</v>
      </c>
      <c r="E729" s="3">
        <v>43158</v>
      </c>
      <c r="F729">
        <f t="shared" si="22"/>
        <v>2</v>
      </c>
      <c r="G729">
        <f t="shared" si="23"/>
        <v>2018</v>
      </c>
    </row>
    <row r="730" spans="1:7" x14ac:dyDescent="0.25">
      <c r="A730" s="2" t="s">
        <v>2279</v>
      </c>
      <c r="B730" s="2" t="s">
        <v>1622</v>
      </c>
      <c r="C730" s="2" t="s">
        <v>2280</v>
      </c>
      <c r="D730" s="2" t="s">
        <v>168</v>
      </c>
      <c r="E730" s="3">
        <v>43158</v>
      </c>
      <c r="F730">
        <f t="shared" si="22"/>
        <v>2</v>
      </c>
      <c r="G730">
        <f t="shared" si="23"/>
        <v>2018</v>
      </c>
    </row>
    <row r="731" spans="1:7" ht="24" x14ac:dyDescent="0.25">
      <c r="A731" s="2" t="s">
        <v>1747</v>
      </c>
      <c r="B731" s="2" t="s">
        <v>2281</v>
      </c>
      <c r="C731" s="2" t="s">
        <v>2282</v>
      </c>
      <c r="D731" s="2" t="s">
        <v>2283</v>
      </c>
      <c r="E731" s="3">
        <v>43158</v>
      </c>
      <c r="F731">
        <f t="shared" si="22"/>
        <v>2</v>
      </c>
      <c r="G731">
        <f t="shared" si="23"/>
        <v>2018</v>
      </c>
    </row>
    <row r="732" spans="1:7" x14ac:dyDescent="0.25">
      <c r="A732" s="2" t="s">
        <v>2284</v>
      </c>
      <c r="B732" s="2" t="s">
        <v>2285</v>
      </c>
      <c r="C732" s="2" t="s">
        <v>2015</v>
      </c>
      <c r="D732" s="2" t="s">
        <v>502</v>
      </c>
      <c r="E732" s="3">
        <v>43158</v>
      </c>
      <c r="F732">
        <f t="shared" si="22"/>
        <v>2</v>
      </c>
      <c r="G732">
        <f t="shared" si="23"/>
        <v>2018</v>
      </c>
    </row>
    <row r="733" spans="1:7" x14ac:dyDescent="0.25">
      <c r="A733" s="2" t="s">
        <v>2286</v>
      </c>
      <c r="B733" s="2" t="s">
        <v>381</v>
      </c>
      <c r="C733" s="2" t="s">
        <v>2287</v>
      </c>
      <c r="D733" s="2" t="s">
        <v>2288</v>
      </c>
      <c r="E733" s="3">
        <v>43158</v>
      </c>
      <c r="F733">
        <f t="shared" si="22"/>
        <v>2</v>
      </c>
      <c r="G733">
        <f t="shared" si="23"/>
        <v>2018</v>
      </c>
    </row>
    <row r="734" spans="1:7" x14ac:dyDescent="0.25">
      <c r="A734" s="2" t="s">
        <v>2289</v>
      </c>
      <c r="B734" s="2" t="s">
        <v>2290</v>
      </c>
      <c r="C734" s="2" t="s">
        <v>27</v>
      </c>
      <c r="D734" s="2" t="s">
        <v>301</v>
      </c>
      <c r="E734" s="3">
        <v>43158</v>
      </c>
      <c r="F734">
        <f t="shared" si="22"/>
        <v>2</v>
      </c>
      <c r="G734">
        <f t="shared" si="23"/>
        <v>2018</v>
      </c>
    </row>
    <row r="735" spans="1:7" x14ac:dyDescent="0.25">
      <c r="A735" s="2" t="s">
        <v>2291</v>
      </c>
      <c r="B735" s="2" t="s">
        <v>2292</v>
      </c>
      <c r="C735" s="2" t="s">
        <v>2293</v>
      </c>
      <c r="D735" s="2" t="s">
        <v>311</v>
      </c>
      <c r="E735" s="3">
        <v>43158</v>
      </c>
      <c r="F735">
        <f t="shared" si="22"/>
        <v>2</v>
      </c>
      <c r="G735">
        <f t="shared" si="23"/>
        <v>2018</v>
      </c>
    </row>
    <row r="736" spans="1:7" x14ac:dyDescent="0.25">
      <c r="A736" s="2" t="s">
        <v>345</v>
      </c>
      <c r="B736" s="2" t="s">
        <v>2294</v>
      </c>
      <c r="C736" s="2" t="s">
        <v>23</v>
      </c>
      <c r="D736" s="2" t="s">
        <v>80</v>
      </c>
      <c r="E736" s="3">
        <v>43158</v>
      </c>
      <c r="F736">
        <f t="shared" si="22"/>
        <v>2</v>
      </c>
      <c r="G736">
        <f t="shared" si="23"/>
        <v>2018</v>
      </c>
    </row>
    <row r="737" spans="1:7" x14ac:dyDescent="0.25">
      <c r="A737" s="2" t="s">
        <v>2295</v>
      </c>
      <c r="B737" s="2" t="s">
        <v>379</v>
      </c>
      <c r="C737" s="2" t="s">
        <v>508</v>
      </c>
      <c r="D737" s="2" t="s">
        <v>168</v>
      </c>
      <c r="E737" s="3">
        <v>43158</v>
      </c>
      <c r="F737">
        <f t="shared" si="22"/>
        <v>2</v>
      </c>
      <c r="G737">
        <f t="shared" si="23"/>
        <v>2018</v>
      </c>
    </row>
    <row r="738" spans="1:7" x14ac:dyDescent="0.25">
      <c r="A738" s="2" t="s">
        <v>2296</v>
      </c>
      <c r="B738" s="2" t="s">
        <v>2297</v>
      </c>
      <c r="C738" s="2" t="s">
        <v>2298</v>
      </c>
      <c r="D738" s="2" t="s">
        <v>2299</v>
      </c>
      <c r="E738" s="3">
        <v>43158</v>
      </c>
      <c r="F738">
        <f t="shared" si="22"/>
        <v>2</v>
      </c>
      <c r="G738">
        <f t="shared" si="23"/>
        <v>2018</v>
      </c>
    </row>
    <row r="739" spans="1:7" x14ac:dyDescent="0.25">
      <c r="A739" s="2" t="s">
        <v>2300</v>
      </c>
      <c r="B739" s="2" t="s">
        <v>2301</v>
      </c>
      <c r="C739" s="2" t="s">
        <v>23</v>
      </c>
      <c r="D739" s="2" t="s">
        <v>141</v>
      </c>
      <c r="E739" s="3">
        <v>43158</v>
      </c>
      <c r="F739">
        <f t="shared" si="22"/>
        <v>2</v>
      </c>
      <c r="G739">
        <f t="shared" si="23"/>
        <v>2018</v>
      </c>
    </row>
    <row r="740" spans="1:7" x14ac:dyDescent="0.25">
      <c r="A740" s="2" t="s">
        <v>2302</v>
      </c>
      <c r="B740" s="2" t="s">
        <v>2303</v>
      </c>
      <c r="C740" s="2" t="s">
        <v>2304</v>
      </c>
      <c r="D740" s="2" t="s">
        <v>114</v>
      </c>
      <c r="E740" s="3">
        <v>43158</v>
      </c>
      <c r="F740">
        <f t="shared" si="22"/>
        <v>2</v>
      </c>
      <c r="G740">
        <f t="shared" si="23"/>
        <v>2018</v>
      </c>
    </row>
    <row r="741" spans="1:7" ht="24" x14ac:dyDescent="0.25">
      <c r="A741" s="2" t="s">
        <v>2305</v>
      </c>
      <c r="B741" s="2" t="s">
        <v>1063</v>
      </c>
      <c r="C741" s="2" t="s">
        <v>2306</v>
      </c>
      <c r="D741" s="2" t="s">
        <v>2307</v>
      </c>
      <c r="E741" s="3">
        <v>43158</v>
      </c>
      <c r="F741">
        <f t="shared" si="22"/>
        <v>2</v>
      </c>
      <c r="G741">
        <f t="shared" si="23"/>
        <v>2018</v>
      </c>
    </row>
    <row r="742" spans="1:7" x14ac:dyDescent="0.25">
      <c r="A742" s="2" t="s">
        <v>2308</v>
      </c>
      <c r="B742" s="2" t="s">
        <v>2052</v>
      </c>
      <c r="C742" s="2" t="s">
        <v>2304</v>
      </c>
      <c r="D742" s="2" t="s">
        <v>114</v>
      </c>
      <c r="E742" s="3">
        <v>43158</v>
      </c>
      <c r="F742">
        <f t="shared" si="22"/>
        <v>2</v>
      </c>
      <c r="G742">
        <f t="shared" si="23"/>
        <v>2018</v>
      </c>
    </row>
    <row r="743" spans="1:7" x14ac:dyDescent="0.25">
      <c r="A743" s="2" t="s">
        <v>21</v>
      </c>
      <c r="B743" s="2" t="s">
        <v>2309</v>
      </c>
      <c r="C743" s="2" t="s">
        <v>1524</v>
      </c>
      <c r="D743" s="2" t="s">
        <v>2310</v>
      </c>
      <c r="E743" s="3">
        <v>43158</v>
      </c>
      <c r="F743">
        <f t="shared" si="22"/>
        <v>2</v>
      </c>
      <c r="G743">
        <f t="shared" si="23"/>
        <v>2018</v>
      </c>
    </row>
    <row r="744" spans="1:7" x14ac:dyDescent="0.25">
      <c r="A744" s="2" t="s">
        <v>2311</v>
      </c>
      <c r="B744" s="2" t="s">
        <v>2312</v>
      </c>
      <c r="C744" s="2" t="s">
        <v>11</v>
      </c>
      <c r="D744" s="2" t="s">
        <v>2313</v>
      </c>
      <c r="E744" s="3">
        <v>43158</v>
      </c>
      <c r="F744">
        <f t="shared" si="22"/>
        <v>2</v>
      </c>
      <c r="G744">
        <f t="shared" si="23"/>
        <v>2018</v>
      </c>
    </row>
    <row r="745" spans="1:7" x14ac:dyDescent="0.25">
      <c r="A745" s="2" t="s">
        <v>2314</v>
      </c>
      <c r="B745" s="2" t="s">
        <v>232</v>
      </c>
      <c r="C745" s="2" t="s">
        <v>65</v>
      </c>
      <c r="D745" s="2" t="s">
        <v>2203</v>
      </c>
      <c r="E745" s="3">
        <v>43158</v>
      </c>
      <c r="F745">
        <f t="shared" si="22"/>
        <v>2</v>
      </c>
      <c r="G745">
        <f t="shared" si="23"/>
        <v>2018</v>
      </c>
    </row>
    <row r="746" spans="1:7" ht="24" x14ac:dyDescent="0.25">
      <c r="A746" s="2" t="s">
        <v>2315</v>
      </c>
      <c r="B746" s="2" t="s">
        <v>101</v>
      </c>
      <c r="C746" s="2" t="s">
        <v>2316</v>
      </c>
      <c r="D746" s="2" t="s">
        <v>2317</v>
      </c>
      <c r="E746" s="3">
        <v>43158</v>
      </c>
      <c r="F746">
        <f t="shared" si="22"/>
        <v>2</v>
      </c>
      <c r="G746">
        <f t="shared" si="23"/>
        <v>2018</v>
      </c>
    </row>
    <row r="747" spans="1:7" x14ac:dyDescent="0.25">
      <c r="A747" s="2" t="s">
        <v>2318</v>
      </c>
      <c r="B747" s="2" t="s">
        <v>2319</v>
      </c>
      <c r="C747" s="2" t="s">
        <v>2320</v>
      </c>
      <c r="D747" s="2" t="s">
        <v>2321</v>
      </c>
      <c r="E747" s="3">
        <v>43158</v>
      </c>
      <c r="F747">
        <f t="shared" si="22"/>
        <v>2</v>
      </c>
      <c r="G747">
        <f t="shared" si="23"/>
        <v>2018</v>
      </c>
    </row>
    <row r="748" spans="1:7" ht="24" x14ac:dyDescent="0.25">
      <c r="A748" s="2" t="s">
        <v>2322</v>
      </c>
      <c r="B748" s="2" t="s">
        <v>2323</v>
      </c>
      <c r="C748" s="2" t="s">
        <v>2324</v>
      </c>
      <c r="D748" s="2" t="s">
        <v>2325</v>
      </c>
      <c r="E748" s="3">
        <v>43158</v>
      </c>
      <c r="F748">
        <f t="shared" si="22"/>
        <v>2</v>
      </c>
      <c r="G748">
        <f t="shared" si="23"/>
        <v>2018</v>
      </c>
    </row>
    <row r="749" spans="1:7" x14ac:dyDescent="0.25">
      <c r="A749" s="2" t="s">
        <v>2326</v>
      </c>
      <c r="B749" s="2" t="s">
        <v>2327</v>
      </c>
      <c r="C749" s="2" t="s">
        <v>2328</v>
      </c>
      <c r="D749" s="2" t="s">
        <v>28</v>
      </c>
      <c r="E749" s="3">
        <v>43157</v>
      </c>
      <c r="F749">
        <f t="shared" si="22"/>
        <v>2</v>
      </c>
      <c r="G749">
        <f t="shared" si="23"/>
        <v>2018</v>
      </c>
    </row>
    <row r="750" spans="1:7" x14ac:dyDescent="0.25">
      <c r="A750" s="2" t="s">
        <v>2329</v>
      </c>
      <c r="B750" s="2" t="s">
        <v>2330</v>
      </c>
      <c r="C750" s="2" t="s">
        <v>837</v>
      </c>
      <c r="D750" s="2" t="s">
        <v>502</v>
      </c>
      <c r="E750" s="3">
        <v>43157</v>
      </c>
      <c r="F750">
        <f t="shared" si="22"/>
        <v>2</v>
      </c>
      <c r="G750">
        <f t="shared" si="23"/>
        <v>2018</v>
      </c>
    </row>
    <row r="751" spans="1:7" x14ac:dyDescent="0.25">
      <c r="A751" s="2" t="s">
        <v>755</v>
      </c>
      <c r="B751" s="2" t="s">
        <v>101</v>
      </c>
      <c r="C751" s="2" t="s">
        <v>11</v>
      </c>
      <c r="D751" s="2" t="s">
        <v>2331</v>
      </c>
      <c r="E751" s="3">
        <v>43157</v>
      </c>
      <c r="F751">
        <f t="shared" si="22"/>
        <v>2</v>
      </c>
      <c r="G751">
        <f t="shared" si="23"/>
        <v>2018</v>
      </c>
    </row>
    <row r="752" spans="1:7" x14ac:dyDescent="0.25">
      <c r="A752" s="2" t="s">
        <v>29</v>
      </c>
      <c r="B752" s="2" t="s">
        <v>2332</v>
      </c>
      <c r="C752" s="2" t="s">
        <v>1123</v>
      </c>
      <c r="D752" s="2" t="s">
        <v>2333</v>
      </c>
      <c r="E752" s="3">
        <v>43157</v>
      </c>
      <c r="F752">
        <f t="shared" si="22"/>
        <v>2</v>
      </c>
      <c r="G752">
        <f t="shared" si="23"/>
        <v>2018</v>
      </c>
    </row>
    <row r="753" spans="1:7" x14ac:dyDescent="0.25">
      <c r="A753" s="2" t="s">
        <v>2334</v>
      </c>
      <c r="B753" s="2" t="s">
        <v>2335</v>
      </c>
      <c r="C753" s="2" t="s">
        <v>57</v>
      </c>
      <c r="D753" s="2" t="s">
        <v>287</v>
      </c>
      <c r="E753" s="3">
        <v>43157</v>
      </c>
      <c r="F753">
        <f t="shared" si="22"/>
        <v>2</v>
      </c>
      <c r="G753">
        <f t="shared" si="23"/>
        <v>2018</v>
      </c>
    </row>
    <row r="754" spans="1:7" x14ac:dyDescent="0.25">
      <c r="A754" s="2" t="s">
        <v>2336</v>
      </c>
      <c r="B754" s="2" t="s">
        <v>2337</v>
      </c>
      <c r="C754" s="2" t="s">
        <v>1827</v>
      </c>
      <c r="D754" s="2" t="s">
        <v>28</v>
      </c>
      <c r="E754" s="3">
        <v>43157</v>
      </c>
      <c r="F754">
        <f t="shared" si="22"/>
        <v>2</v>
      </c>
      <c r="G754">
        <f t="shared" si="23"/>
        <v>2018</v>
      </c>
    </row>
    <row r="755" spans="1:7" x14ac:dyDescent="0.25">
      <c r="A755" s="2" t="s">
        <v>2338</v>
      </c>
      <c r="B755" s="2" t="s">
        <v>101</v>
      </c>
      <c r="C755" s="2" t="s">
        <v>2339</v>
      </c>
      <c r="D755" s="2" t="s">
        <v>168</v>
      </c>
      <c r="E755" s="3">
        <v>43157</v>
      </c>
      <c r="F755">
        <f t="shared" si="22"/>
        <v>2</v>
      </c>
      <c r="G755">
        <f t="shared" si="23"/>
        <v>2018</v>
      </c>
    </row>
    <row r="756" spans="1:7" x14ac:dyDescent="0.25">
      <c r="A756" s="2" t="s">
        <v>2340</v>
      </c>
      <c r="B756" s="2" t="s">
        <v>2341</v>
      </c>
      <c r="C756" s="2" t="s">
        <v>1015</v>
      </c>
      <c r="D756" s="2" t="s">
        <v>221</v>
      </c>
      <c r="E756" s="3">
        <v>43157</v>
      </c>
      <c r="F756">
        <f t="shared" si="22"/>
        <v>2</v>
      </c>
      <c r="G756">
        <f t="shared" si="23"/>
        <v>2018</v>
      </c>
    </row>
    <row r="757" spans="1:7" ht="24" x14ac:dyDescent="0.25">
      <c r="A757" s="2" t="s">
        <v>2342</v>
      </c>
      <c r="B757" s="2" t="s">
        <v>2343</v>
      </c>
      <c r="C757" s="2" t="s">
        <v>91</v>
      </c>
      <c r="D757" s="2" t="s">
        <v>2344</v>
      </c>
      <c r="E757" s="3">
        <v>43157</v>
      </c>
      <c r="F757">
        <f t="shared" si="22"/>
        <v>2</v>
      </c>
      <c r="G757">
        <f t="shared" si="23"/>
        <v>2018</v>
      </c>
    </row>
    <row r="758" spans="1:7" x14ac:dyDescent="0.25">
      <c r="A758" s="2" t="s">
        <v>2345</v>
      </c>
      <c r="B758" s="2" t="s">
        <v>2346</v>
      </c>
      <c r="C758" s="2" t="s">
        <v>2347</v>
      </c>
      <c r="D758" s="2" t="s">
        <v>106</v>
      </c>
      <c r="E758" s="3">
        <v>43157</v>
      </c>
      <c r="F758">
        <f t="shared" si="22"/>
        <v>2</v>
      </c>
      <c r="G758">
        <f t="shared" si="23"/>
        <v>2018</v>
      </c>
    </row>
    <row r="759" spans="1:7" x14ac:dyDescent="0.25">
      <c r="A759" s="2" t="s">
        <v>2230</v>
      </c>
      <c r="B759" s="2" t="s">
        <v>2348</v>
      </c>
      <c r="C759" s="2" t="s">
        <v>1416</v>
      </c>
      <c r="D759" s="2" t="s">
        <v>2349</v>
      </c>
      <c r="E759" s="3">
        <v>43157</v>
      </c>
      <c r="F759">
        <f t="shared" si="22"/>
        <v>2</v>
      </c>
      <c r="G759">
        <f t="shared" si="23"/>
        <v>2018</v>
      </c>
    </row>
    <row r="760" spans="1:7" x14ac:dyDescent="0.25">
      <c r="A760" s="2" t="s">
        <v>2350</v>
      </c>
      <c r="B760" s="2" t="s">
        <v>2351</v>
      </c>
      <c r="C760" s="2" t="s">
        <v>91</v>
      </c>
      <c r="D760" s="2" t="s">
        <v>2352</v>
      </c>
      <c r="E760" s="3">
        <v>43157</v>
      </c>
      <c r="F760">
        <f t="shared" si="22"/>
        <v>2</v>
      </c>
      <c r="G760">
        <f t="shared" si="23"/>
        <v>2018</v>
      </c>
    </row>
    <row r="761" spans="1:7" x14ac:dyDescent="0.25">
      <c r="A761" s="2" t="s">
        <v>2353</v>
      </c>
      <c r="B761" s="2" t="s">
        <v>559</v>
      </c>
      <c r="C761" s="2" t="s">
        <v>2354</v>
      </c>
      <c r="D761" s="2" t="s">
        <v>2355</v>
      </c>
      <c r="E761" s="3">
        <v>43157</v>
      </c>
      <c r="F761">
        <f t="shared" si="22"/>
        <v>2</v>
      </c>
      <c r="G761">
        <f t="shared" si="23"/>
        <v>2018</v>
      </c>
    </row>
    <row r="762" spans="1:7" x14ac:dyDescent="0.25">
      <c r="A762" s="2" t="s">
        <v>2356</v>
      </c>
      <c r="B762" s="2" t="s">
        <v>1328</v>
      </c>
      <c r="C762" s="2" t="s">
        <v>31</v>
      </c>
      <c r="D762" s="2" t="s">
        <v>32</v>
      </c>
      <c r="E762" s="3">
        <v>43157</v>
      </c>
      <c r="F762">
        <f t="shared" si="22"/>
        <v>2</v>
      </c>
      <c r="G762">
        <f t="shared" si="23"/>
        <v>2018</v>
      </c>
    </row>
    <row r="763" spans="1:7" x14ac:dyDescent="0.25">
      <c r="A763" s="2" t="s">
        <v>2357</v>
      </c>
      <c r="B763" s="2" t="s">
        <v>2358</v>
      </c>
      <c r="C763" s="2" t="s">
        <v>2359</v>
      </c>
      <c r="D763" s="2" t="s">
        <v>168</v>
      </c>
      <c r="E763" s="3">
        <v>43157</v>
      </c>
      <c r="F763">
        <f t="shared" si="22"/>
        <v>2</v>
      </c>
      <c r="G763">
        <f t="shared" si="23"/>
        <v>2018</v>
      </c>
    </row>
    <row r="764" spans="1:7" ht="24" x14ac:dyDescent="0.25">
      <c r="A764" s="2" t="s">
        <v>2360</v>
      </c>
      <c r="B764" s="2" t="s">
        <v>2361</v>
      </c>
      <c r="C764" s="2" t="s">
        <v>2362</v>
      </c>
      <c r="D764" s="2" t="s">
        <v>2363</v>
      </c>
      <c r="E764" s="3">
        <v>43157</v>
      </c>
      <c r="F764">
        <f t="shared" si="22"/>
        <v>2</v>
      </c>
      <c r="G764">
        <f t="shared" si="23"/>
        <v>2018</v>
      </c>
    </row>
    <row r="765" spans="1:7" x14ac:dyDescent="0.25">
      <c r="A765" s="2" t="s">
        <v>2364</v>
      </c>
      <c r="B765" s="2" t="s">
        <v>2365</v>
      </c>
      <c r="C765" s="2" t="s">
        <v>38</v>
      </c>
      <c r="D765" s="2" t="s">
        <v>28</v>
      </c>
      <c r="E765" s="3">
        <v>43157</v>
      </c>
      <c r="F765">
        <f t="shared" si="22"/>
        <v>2</v>
      </c>
      <c r="G765">
        <f t="shared" si="23"/>
        <v>2018</v>
      </c>
    </row>
    <row r="766" spans="1:7" x14ac:dyDescent="0.25">
      <c r="A766" s="2" t="s">
        <v>2366</v>
      </c>
      <c r="B766" s="2" t="s">
        <v>2367</v>
      </c>
      <c r="C766" s="2" t="s">
        <v>11</v>
      </c>
      <c r="D766" s="2" t="s">
        <v>74</v>
      </c>
      <c r="E766" s="3">
        <v>43157</v>
      </c>
      <c r="F766">
        <f t="shared" si="22"/>
        <v>2</v>
      </c>
      <c r="G766">
        <f t="shared" si="23"/>
        <v>2018</v>
      </c>
    </row>
    <row r="767" spans="1:7" x14ac:dyDescent="0.25">
      <c r="A767" s="2" t="s">
        <v>1131</v>
      </c>
      <c r="B767" s="2" t="s">
        <v>2368</v>
      </c>
      <c r="C767" s="2" t="s">
        <v>490</v>
      </c>
      <c r="D767" s="2" t="s">
        <v>2369</v>
      </c>
      <c r="E767" s="3">
        <v>43157</v>
      </c>
      <c r="F767">
        <f t="shared" si="22"/>
        <v>2</v>
      </c>
      <c r="G767">
        <f t="shared" si="23"/>
        <v>2018</v>
      </c>
    </row>
    <row r="768" spans="1:7" ht="24" x14ac:dyDescent="0.25">
      <c r="A768" s="2" t="s">
        <v>2370</v>
      </c>
      <c r="B768" s="2" t="s">
        <v>2371</v>
      </c>
      <c r="C768" s="2" t="s">
        <v>148</v>
      </c>
      <c r="D768" s="2" t="s">
        <v>2372</v>
      </c>
      <c r="E768" s="3">
        <v>43157</v>
      </c>
      <c r="F768">
        <f t="shared" si="22"/>
        <v>2</v>
      </c>
      <c r="G768">
        <f t="shared" si="23"/>
        <v>2018</v>
      </c>
    </row>
    <row r="769" spans="1:7" x14ac:dyDescent="0.25">
      <c r="A769" s="2" t="s">
        <v>2373</v>
      </c>
      <c r="B769" s="2" t="s">
        <v>2374</v>
      </c>
      <c r="C769" s="2" t="s">
        <v>532</v>
      </c>
      <c r="D769" s="2" t="s">
        <v>301</v>
      </c>
      <c r="E769" s="3">
        <v>43153</v>
      </c>
      <c r="F769">
        <f t="shared" si="22"/>
        <v>2</v>
      </c>
      <c r="G769">
        <f t="shared" si="23"/>
        <v>2018</v>
      </c>
    </row>
    <row r="770" spans="1:7" x14ac:dyDescent="0.25">
      <c r="A770" s="2" t="s">
        <v>2375</v>
      </c>
      <c r="B770" s="2" t="s">
        <v>1576</v>
      </c>
      <c r="C770" s="2" t="s">
        <v>91</v>
      </c>
      <c r="D770" s="2" t="s">
        <v>2352</v>
      </c>
      <c r="E770" s="3">
        <v>43150</v>
      </c>
      <c r="F770">
        <f t="shared" si="22"/>
        <v>2</v>
      </c>
      <c r="G770">
        <f t="shared" si="23"/>
        <v>2018</v>
      </c>
    </row>
    <row r="771" spans="1:7" x14ac:dyDescent="0.25">
      <c r="A771" s="2" t="s">
        <v>2376</v>
      </c>
      <c r="B771" s="2" t="s">
        <v>2377</v>
      </c>
      <c r="C771" s="2" t="s">
        <v>490</v>
      </c>
      <c r="D771" s="2" t="s">
        <v>2378</v>
      </c>
      <c r="E771" s="3">
        <v>43132</v>
      </c>
      <c r="F771">
        <f t="shared" ref="F771:F834" si="24">MONTH(E771)</f>
        <v>2</v>
      </c>
      <c r="G771">
        <f t="shared" ref="G771:G834" si="25">YEAR(E771)</f>
        <v>2018</v>
      </c>
    </row>
    <row r="772" spans="1:7" x14ac:dyDescent="0.25">
      <c r="A772" s="2" t="s">
        <v>2379</v>
      </c>
      <c r="B772" s="2" t="s">
        <v>2380</v>
      </c>
      <c r="C772" s="2" t="s">
        <v>833</v>
      </c>
      <c r="D772" s="2" t="s">
        <v>2381</v>
      </c>
      <c r="E772" s="3">
        <v>43131</v>
      </c>
      <c r="F772">
        <f t="shared" si="24"/>
        <v>1</v>
      </c>
      <c r="G772">
        <f t="shared" si="25"/>
        <v>2018</v>
      </c>
    </row>
    <row r="773" spans="1:7" x14ac:dyDescent="0.25">
      <c r="A773" s="2" t="s">
        <v>2382</v>
      </c>
      <c r="B773" s="2" t="s">
        <v>2383</v>
      </c>
      <c r="C773" s="2" t="s">
        <v>2384</v>
      </c>
      <c r="D773" s="2" t="s">
        <v>2385</v>
      </c>
      <c r="E773" s="3">
        <v>43130</v>
      </c>
      <c r="F773">
        <f t="shared" si="24"/>
        <v>1</v>
      </c>
      <c r="G773">
        <f t="shared" si="25"/>
        <v>2018</v>
      </c>
    </row>
    <row r="774" spans="1:7" x14ac:dyDescent="0.25">
      <c r="A774" s="2" t="s">
        <v>2386</v>
      </c>
      <c r="B774" s="2" t="s">
        <v>2387</v>
      </c>
      <c r="C774" s="2" t="s">
        <v>1473</v>
      </c>
      <c r="D774" s="2" t="s">
        <v>2388</v>
      </c>
      <c r="E774" s="3">
        <v>43124</v>
      </c>
      <c r="F774">
        <f t="shared" si="24"/>
        <v>1</v>
      </c>
      <c r="G774">
        <f t="shared" si="25"/>
        <v>2018</v>
      </c>
    </row>
    <row r="775" spans="1:7" ht="24" x14ac:dyDescent="0.25">
      <c r="A775" s="2" t="s">
        <v>2389</v>
      </c>
      <c r="B775" s="2" t="s">
        <v>1485</v>
      </c>
      <c r="C775" s="2" t="s">
        <v>57</v>
      </c>
      <c r="D775" s="2" t="s">
        <v>2390</v>
      </c>
      <c r="E775" s="3">
        <v>43118</v>
      </c>
      <c r="F775">
        <f t="shared" si="24"/>
        <v>1</v>
      </c>
      <c r="G775">
        <f t="shared" si="25"/>
        <v>2018</v>
      </c>
    </row>
    <row r="776" spans="1:7" ht="24" x14ac:dyDescent="0.25">
      <c r="A776" s="2" t="s">
        <v>1792</v>
      </c>
      <c r="B776" s="2" t="s">
        <v>2391</v>
      </c>
      <c r="C776" s="2" t="s">
        <v>925</v>
      </c>
      <c r="D776" s="2" t="s">
        <v>2392</v>
      </c>
      <c r="E776" s="3">
        <v>43113</v>
      </c>
      <c r="F776">
        <f t="shared" si="24"/>
        <v>1</v>
      </c>
      <c r="G776">
        <f t="shared" si="25"/>
        <v>2018</v>
      </c>
    </row>
    <row r="777" spans="1:7" ht="24" x14ac:dyDescent="0.25">
      <c r="A777" s="2" t="s">
        <v>192</v>
      </c>
      <c r="B777" s="2" t="s">
        <v>101</v>
      </c>
      <c r="C777" s="2" t="s">
        <v>998</v>
      </c>
      <c r="D777" s="2" t="s">
        <v>2393</v>
      </c>
      <c r="E777" s="3">
        <v>43111</v>
      </c>
      <c r="F777">
        <f t="shared" si="24"/>
        <v>1</v>
      </c>
      <c r="G777">
        <f t="shared" si="25"/>
        <v>2018</v>
      </c>
    </row>
    <row r="778" spans="1:7" x14ac:dyDescent="0.25">
      <c r="A778" s="2" t="s">
        <v>2394</v>
      </c>
      <c r="B778" s="2" t="s">
        <v>2395</v>
      </c>
      <c r="C778" s="2" t="s">
        <v>736</v>
      </c>
      <c r="D778" s="2" t="s">
        <v>2396</v>
      </c>
      <c r="E778" s="3">
        <v>43111</v>
      </c>
      <c r="F778">
        <f t="shared" si="24"/>
        <v>1</v>
      </c>
      <c r="G778">
        <f t="shared" si="25"/>
        <v>2018</v>
      </c>
    </row>
    <row r="779" spans="1:7" ht="24" x14ac:dyDescent="0.25">
      <c r="A779" s="2" t="s">
        <v>2397</v>
      </c>
      <c r="B779" s="2" t="s">
        <v>1628</v>
      </c>
      <c r="C779" s="2" t="s">
        <v>2398</v>
      </c>
      <c r="D779" s="2" t="s">
        <v>2399</v>
      </c>
      <c r="E779" s="3">
        <v>43111</v>
      </c>
      <c r="F779">
        <f t="shared" si="24"/>
        <v>1</v>
      </c>
      <c r="G779">
        <f t="shared" si="25"/>
        <v>2018</v>
      </c>
    </row>
    <row r="780" spans="1:7" x14ac:dyDescent="0.25">
      <c r="A780" s="2" t="s">
        <v>2400</v>
      </c>
      <c r="B780" s="2" t="s">
        <v>756</v>
      </c>
      <c r="C780" s="2" t="s">
        <v>2401</v>
      </c>
      <c r="D780" s="2" t="s">
        <v>361</v>
      </c>
      <c r="E780" s="3">
        <v>43105</v>
      </c>
      <c r="F780">
        <f t="shared" si="24"/>
        <v>1</v>
      </c>
      <c r="G780">
        <f t="shared" si="25"/>
        <v>2018</v>
      </c>
    </row>
    <row r="781" spans="1:7" ht="24" x14ac:dyDescent="0.25">
      <c r="A781" s="2" t="s">
        <v>2402</v>
      </c>
      <c r="B781" s="2" t="s">
        <v>749</v>
      </c>
      <c r="C781" s="2" t="s">
        <v>117</v>
      </c>
      <c r="D781" s="2" t="s">
        <v>2403</v>
      </c>
      <c r="E781" s="3">
        <v>43099</v>
      </c>
      <c r="F781">
        <f t="shared" si="24"/>
        <v>12</v>
      </c>
      <c r="G781">
        <f t="shared" si="25"/>
        <v>2017</v>
      </c>
    </row>
    <row r="782" spans="1:7" ht="36" x14ac:dyDescent="0.25">
      <c r="A782" s="2" t="s">
        <v>2404</v>
      </c>
      <c r="B782" s="2" t="s">
        <v>777</v>
      </c>
      <c r="C782" s="2" t="s">
        <v>2405</v>
      </c>
      <c r="D782" s="2" t="s">
        <v>577</v>
      </c>
      <c r="E782" s="3">
        <v>43096</v>
      </c>
      <c r="F782">
        <f t="shared" si="24"/>
        <v>12</v>
      </c>
      <c r="G782">
        <f t="shared" si="25"/>
        <v>2017</v>
      </c>
    </row>
    <row r="783" spans="1:7" ht="24" x14ac:dyDescent="0.25">
      <c r="A783" s="2" t="s">
        <v>2406</v>
      </c>
      <c r="B783" s="2" t="s">
        <v>425</v>
      </c>
      <c r="C783" s="2" t="s">
        <v>2407</v>
      </c>
      <c r="D783" s="2" t="s">
        <v>2408</v>
      </c>
      <c r="E783" s="3">
        <v>43076</v>
      </c>
      <c r="F783">
        <f t="shared" si="24"/>
        <v>12</v>
      </c>
      <c r="G783">
        <f t="shared" si="25"/>
        <v>2017</v>
      </c>
    </row>
    <row r="784" spans="1:7" x14ac:dyDescent="0.25">
      <c r="A784" s="2" t="s">
        <v>1647</v>
      </c>
      <c r="B784" s="2" t="s">
        <v>101</v>
      </c>
      <c r="C784" s="2" t="s">
        <v>903</v>
      </c>
      <c r="D784" s="2" t="s">
        <v>2409</v>
      </c>
      <c r="E784" s="3">
        <v>43070</v>
      </c>
      <c r="F784">
        <f t="shared" si="24"/>
        <v>12</v>
      </c>
      <c r="G784">
        <f t="shared" si="25"/>
        <v>2017</v>
      </c>
    </row>
    <row r="785" spans="1:7" x14ac:dyDescent="0.25">
      <c r="A785" s="2" t="s">
        <v>424</v>
      </c>
      <c r="B785" s="2" t="s">
        <v>425</v>
      </c>
      <c r="C785" s="2" t="s">
        <v>140</v>
      </c>
      <c r="D785" s="2" t="s">
        <v>1571</v>
      </c>
      <c r="E785" s="3">
        <v>43067</v>
      </c>
      <c r="F785">
        <f t="shared" si="24"/>
        <v>11</v>
      </c>
      <c r="G785">
        <f t="shared" si="25"/>
        <v>2017</v>
      </c>
    </row>
    <row r="786" spans="1:7" x14ac:dyDescent="0.25">
      <c r="A786" s="2" t="s">
        <v>2410</v>
      </c>
      <c r="B786" s="2" t="s">
        <v>2411</v>
      </c>
      <c r="C786" s="2" t="s">
        <v>2412</v>
      </c>
      <c r="D786" s="2" t="s">
        <v>2413</v>
      </c>
      <c r="E786" s="3">
        <v>43045</v>
      </c>
      <c r="F786">
        <f t="shared" si="24"/>
        <v>11</v>
      </c>
      <c r="G786">
        <f t="shared" si="25"/>
        <v>2017</v>
      </c>
    </row>
    <row r="787" spans="1:7" x14ac:dyDescent="0.25">
      <c r="A787" s="2" t="s">
        <v>2414</v>
      </c>
      <c r="B787" s="2" t="s">
        <v>2415</v>
      </c>
      <c r="C787" s="2" t="s">
        <v>837</v>
      </c>
      <c r="D787" s="2" t="s">
        <v>365</v>
      </c>
      <c r="E787" s="3">
        <v>43030</v>
      </c>
      <c r="F787">
        <f t="shared" si="24"/>
        <v>10</v>
      </c>
      <c r="G787">
        <f t="shared" si="25"/>
        <v>2017</v>
      </c>
    </row>
    <row r="788" spans="1:7" x14ac:dyDescent="0.25">
      <c r="A788" s="2" t="s">
        <v>2416</v>
      </c>
      <c r="B788" s="2" t="s">
        <v>2417</v>
      </c>
      <c r="C788" s="2" t="s">
        <v>2418</v>
      </c>
      <c r="D788" s="2" t="s">
        <v>1529</v>
      </c>
      <c r="E788" s="3">
        <v>43025</v>
      </c>
      <c r="F788">
        <f t="shared" si="24"/>
        <v>10</v>
      </c>
      <c r="G788">
        <f t="shared" si="25"/>
        <v>2017</v>
      </c>
    </row>
    <row r="789" spans="1:7" x14ac:dyDescent="0.25">
      <c r="A789" s="2" t="s">
        <v>2107</v>
      </c>
      <c r="B789" s="2" t="s">
        <v>2419</v>
      </c>
      <c r="C789" s="2" t="s">
        <v>2420</v>
      </c>
      <c r="D789" s="2" t="s">
        <v>2408</v>
      </c>
      <c r="E789" s="3">
        <v>43022</v>
      </c>
      <c r="F789">
        <f t="shared" si="24"/>
        <v>10</v>
      </c>
      <c r="G789">
        <f t="shared" si="25"/>
        <v>2017</v>
      </c>
    </row>
    <row r="790" spans="1:7" x14ac:dyDescent="0.25">
      <c r="A790" s="2" t="s">
        <v>403</v>
      </c>
      <c r="B790" s="2" t="s">
        <v>2421</v>
      </c>
      <c r="C790" s="2" t="s">
        <v>11</v>
      </c>
      <c r="D790" s="2" t="s">
        <v>2422</v>
      </c>
      <c r="E790" s="3">
        <v>43021</v>
      </c>
      <c r="F790">
        <f t="shared" si="24"/>
        <v>10</v>
      </c>
      <c r="G790">
        <f t="shared" si="25"/>
        <v>2017</v>
      </c>
    </row>
    <row r="791" spans="1:7" x14ac:dyDescent="0.25">
      <c r="A791" s="2" t="s">
        <v>2345</v>
      </c>
      <c r="B791" s="2" t="s">
        <v>2423</v>
      </c>
      <c r="C791" s="2" t="s">
        <v>2424</v>
      </c>
      <c r="D791" s="2" t="s">
        <v>2425</v>
      </c>
      <c r="E791" s="3">
        <v>43021</v>
      </c>
      <c r="F791">
        <f t="shared" si="24"/>
        <v>10</v>
      </c>
      <c r="G791">
        <f t="shared" si="25"/>
        <v>2017</v>
      </c>
    </row>
    <row r="792" spans="1:7" x14ac:dyDescent="0.25">
      <c r="A792" s="2" t="s">
        <v>2426</v>
      </c>
      <c r="B792" s="2" t="s">
        <v>2427</v>
      </c>
      <c r="C792" s="2" t="s">
        <v>2428</v>
      </c>
      <c r="D792" s="2" t="s">
        <v>2429</v>
      </c>
      <c r="E792" s="3">
        <v>43020</v>
      </c>
      <c r="F792">
        <f t="shared" si="24"/>
        <v>10</v>
      </c>
      <c r="G792">
        <f t="shared" si="25"/>
        <v>2017</v>
      </c>
    </row>
    <row r="793" spans="1:7" x14ac:dyDescent="0.25">
      <c r="A793" s="2" t="s">
        <v>2430</v>
      </c>
      <c r="B793" s="2" t="s">
        <v>2431</v>
      </c>
      <c r="C793" s="2" t="s">
        <v>2432</v>
      </c>
      <c r="D793" s="2" t="s">
        <v>502</v>
      </c>
      <c r="E793" s="3">
        <v>43013</v>
      </c>
      <c r="F793">
        <f t="shared" si="24"/>
        <v>10</v>
      </c>
      <c r="G793">
        <f t="shared" si="25"/>
        <v>2017</v>
      </c>
    </row>
    <row r="794" spans="1:7" x14ac:dyDescent="0.25">
      <c r="A794" s="2" t="s">
        <v>2433</v>
      </c>
      <c r="B794" s="2" t="s">
        <v>2434</v>
      </c>
      <c r="C794" s="2" t="s">
        <v>2435</v>
      </c>
      <c r="D794" s="2" t="s">
        <v>2436</v>
      </c>
      <c r="E794" s="3">
        <v>43003</v>
      </c>
      <c r="F794">
        <f t="shared" si="24"/>
        <v>9</v>
      </c>
      <c r="G794">
        <f t="shared" si="25"/>
        <v>2017</v>
      </c>
    </row>
    <row r="795" spans="1:7" x14ac:dyDescent="0.25">
      <c r="A795" s="2" t="s">
        <v>2437</v>
      </c>
      <c r="B795" s="2" t="s">
        <v>596</v>
      </c>
      <c r="C795" s="2" t="s">
        <v>2438</v>
      </c>
      <c r="D795" s="2" t="s">
        <v>2439</v>
      </c>
      <c r="E795" s="3">
        <v>42985</v>
      </c>
      <c r="F795">
        <f t="shared" si="24"/>
        <v>9</v>
      </c>
      <c r="G795">
        <f t="shared" si="25"/>
        <v>2017</v>
      </c>
    </row>
    <row r="796" spans="1:7" x14ac:dyDescent="0.25">
      <c r="A796" s="2" t="s">
        <v>2440</v>
      </c>
      <c r="B796" s="2" t="s">
        <v>1540</v>
      </c>
      <c r="C796" s="2" t="s">
        <v>2441</v>
      </c>
      <c r="D796" s="2" t="s">
        <v>2442</v>
      </c>
      <c r="E796" s="3">
        <v>42985</v>
      </c>
      <c r="F796">
        <f t="shared" si="24"/>
        <v>9</v>
      </c>
      <c r="G796">
        <f t="shared" si="25"/>
        <v>2017</v>
      </c>
    </row>
    <row r="797" spans="1:7" x14ac:dyDescent="0.25">
      <c r="A797" s="2" t="s">
        <v>2443</v>
      </c>
      <c r="B797" s="2" t="s">
        <v>2444</v>
      </c>
      <c r="C797" s="2" t="s">
        <v>2445</v>
      </c>
      <c r="D797" s="2" t="s">
        <v>2446</v>
      </c>
      <c r="E797" s="3">
        <v>42942</v>
      </c>
      <c r="F797">
        <f t="shared" si="24"/>
        <v>7</v>
      </c>
      <c r="G797">
        <f t="shared" si="25"/>
        <v>2017</v>
      </c>
    </row>
    <row r="798" spans="1:7" ht="24" x14ac:dyDescent="0.25">
      <c r="A798" s="2" t="s">
        <v>2447</v>
      </c>
      <c r="B798" s="2" t="s">
        <v>2448</v>
      </c>
      <c r="C798" s="2" t="s">
        <v>2221</v>
      </c>
      <c r="D798" s="2" t="s">
        <v>2449</v>
      </c>
      <c r="E798" s="3">
        <v>42928</v>
      </c>
      <c r="F798">
        <f t="shared" si="24"/>
        <v>7</v>
      </c>
      <c r="G798">
        <f t="shared" si="25"/>
        <v>2017</v>
      </c>
    </row>
    <row r="799" spans="1:7" x14ac:dyDescent="0.25">
      <c r="A799" s="2" t="s">
        <v>2450</v>
      </c>
      <c r="B799" s="2" t="s">
        <v>2451</v>
      </c>
      <c r="C799" s="2" t="s">
        <v>956</v>
      </c>
      <c r="D799" s="2" t="s">
        <v>2452</v>
      </c>
      <c r="E799" s="3">
        <v>42924</v>
      </c>
      <c r="F799">
        <f t="shared" si="24"/>
        <v>7</v>
      </c>
      <c r="G799">
        <f t="shared" si="25"/>
        <v>2017</v>
      </c>
    </row>
    <row r="800" spans="1:7" x14ac:dyDescent="0.25">
      <c r="A800" s="2" t="s">
        <v>2453</v>
      </c>
      <c r="B800" s="2" t="s">
        <v>2454</v>
      </c>
      <c r="C800" s="2" t="s">
        <v>2455</v>
      </c>
      <c r="D800" s="2" t="s">
        <v>2456</v>
      </c>
      <c r="E800" s="3">
        <v>42921</v>
      </c>
      <c r="F800">
        <f t="shared" si="24"/>
        <v>7</v>
      </c>
      <c r="G800">
        <f t="shared" si="25"/>
        <v>2017</v>
      </c>
    </row>
    <row r="801" spans="1:7" x14ac:dyDescent="0.25">
      <c r="A801" s="2" t="s">
        <v>2457</v>
      </c>
      <c r="B801" s="2" t="s">
        <v>68</v>
      </c>
      <c r="C801" s="2" t="s">
        <v>91</v>
      </c>
      <c r="D801" s="2" t="s">
        <v>2458</v>
      </c>
      <c r="E801" s="3">
        <v>42916</v>
      </c>
      <c r="F801">
        <f t="shared" si="24"/>
        <v>6</v>
      </c>
      <c r="G801">
        <f t="shared" si="25"/>
        <v>2017</v>
      </c>
    </row>
    <row r="802" spans="1:7" x14ac:dyDescent="0.25">
      <c r="A802" s="2" t="s">
        <v>67</v>
      </c>
      <c r="B802" s="2" t="s">
        <v>2459</v>
      </c>
      <c r="C802" s="2" t="s">
        <v>2424</v>
      </c>
      <c r="D802" s="2" t="s">
        <v>2399</v>
      </c>
      <c r="E802" s="3">
        <v>42914</v>
      </c>
      <c r="F802">
        <f t="shared" si="24"/>
        <v>6</v>
      </c>
      <c r="G802">
        <f t="shared" si="25"/>
        <v>2017</v>
      </c>
    </row>
    <row r="803" spans="1:7" x14ac:dyDescent="0.25">
      <c r="A803" s="2" t="s">
        <v>362</v>
      </c>
      <c r="B803" s="2" t="s">
        <v>2460</v>
      </c>
      <c r="C803" s="2" t="s">
        <v>140</v>
      </c>
      <c r="D803" s="2" t="s">
        <v>847</v>
      </c>
      <c r="E803" s="3">
        <v>42908</v>
      </c>
      <c r="F803">
        <f t="shared" si="24"/>
        <v>6</v>
      </c>
      <c r="G803">
        <f t="shared" si="25"/>
        <v>2017</v>
      </c>
    </row>
    <row r="804" spans="1:7" x14ac:dyDescent="0.25">
      <c r="A804" s="2" t="s">
        <v>2461</v>
      </c>
      <c r="B804" s="2" t="s">
        <v>2462</v>
      </c>
      <c r="C804" s="2" t="s">
        <v>2463</v>
      </c>
      <c r="D804" s="2" t="s">
        <v>2464</v>
      </c>
      <c r="E804" s="3">
        <v>42907</v>
      </c>
      <c r="F804">
        <f t="shared" si="24"/>
        <v>6</v>
      </c>
      <c r="G804">
        <f t="shared" si="25"/>
        <v>2017</v>
      </c>
    </row>
    <row r="805" spans="1:7" ht="36" x14ac:dyDescent="0.25">
      <c r="A805" s="2" t="s">
        <v>447</v>
      </c>
      <c r="B805" s="2" t="s">
        <v>2465</v>
      </c>
      <c r="C805" s="2" t="s">
        <v>2466</v>
      </c>
      <c r="D805" s="2" t="s">
        <v>2467</v>
      </c>
      <c r="E805" s="3">
        <v>42902</v>
      </c>
      <c r="F805">
        <f t="shared" si="24"/>
        <v>6</v>
      </c>
      <c r="G805">
        <f t="shared" si="25"/>
        <v>2017</v>
      </c>
    </row>
    <row r="806" spans="1:7" x14ac:dyDescent="0.25">
      <c r="A806" s="2" t="s">
        <v>294</v>
      </c>
      <c r="B806" s="2" t="s">
        <v>2468</v>
      </c>
      <c r="C806" s="2" t="s">
        <v>42</v>
      </c>
      <c r="D806" s="2" t="s">
        <v>2469</v>
      </c>
      <c r="E806" s="3">
        <v>42901</v>
      </c>
      <c r="F806">
        <f t="shared" si="24"/>
        <v>6</v>
      </c>
      <c r="G806">
        <f t="shared" si="25"/>
        <v>2017</v>
      </c>
    </row>
    <row r="807" spans="1:7" ht="24" x14ac:dyDescent="0.25">
      <c r="A807" s="2" t="s">
        <v>795</v>
      </c>
      <c r="B807" s="2" t="s">
        <v>2139</v>
      </c>
      <c r="C807" s="2" t="s">
        <v>2470</v>
      </c>
      <c r="D807" s="2" t="s">
        <v>2471</v>
      </c>
      <c r="E807" s="3">
        <v>42900</v>
      </c>
      <c r="F807">
        <f t="shared" si="24"/>
        <v>6</v>
      </c>
      <c r="G807">
        <f t="shared" si="25"/>
        <v>2017</v>
      </c>
    </row>
    <row r="808" spans="1:7" x14ac:dyDescent="0.25">
      <c r="A808" s="2" t="s">
        <v>2472</v>
      </c>
      <c r="B808" s="2" t="s">
        <v>2473</v>
      </c>
      <c r="C808" s="2" t="s">
        <v>2474</v>
      </c>
      <c r="D808" s="2" t="s">
        <v>2475</v>
      </c>
      <c r="E808" s="3">
        <v>42899</v>
      </c>
      <c r="F808">
        <f t="shared" si="24"/>
        <v>6</v>
      </c>
      <c r="G808">
        <f t="shared" si="25"/>
        <v>2017</v>
      </c>
    </row>
    <row r="809" spans="1:7" x14ac:dyDescent="0.25">
      <c r="A809" s="2" t="s">
        <v>2476</v>
      </c>
      <c r="B809" s="2" t="s">
        <v>2477</v>
      </c>
      <c r="C809" s="2" t="s">
        <v>31</v>
      </c>
      <c r="D809" s="2" t="s">
        <v>2478</v>
      </c>
      <c r="E809" s="3">
        <v>42898</v>
      </c>
      <c r="F809">
        <f t="shared" si="24"/>
        <v>6</v>
      </c>
      <c r="G809">
        <f t="shared" si="25"/>
        <v>2017</v>
      </c>
    </row>
    <row r="810" spans="1:7" x14ac:dyDescent="0.25">
      <c r="A810" s="2" t="s">
        <v>2479</v>
      </c>
      <c r="B810" s="2" t="s">
        <v>2480</v>
      </c>
      <c r="C810" s="2" t="s">
        <v>2481</v>
      </c>
      <c r="D810" s="2" t="s">
        <v>201</v>
      </c>
      <c r="E810" s="3">
        <v>42896</v>
      </c>
      <c r="F810">
        <f t="shared" si="24"/>
        <v>6</v>
      </c>
      <c r="G810">
        <f t="shared" si="25"/>
        <v>2017</v>
      </c>
    </row>
    <row r="811" spans="1:7" x14ac:dyDescent="0.25">
      <c r="A811" s="2" t="s">
        <v>1261</v>
      </c>
      <c r="B811" s="2" t="s">
        <v>2482</v>
      </c>
      <c r="C811" s="2" t="s">
        <v>736</v>
      </c>
      <c r="D811" s="2" t="s">
        <v>2483</v>
      </c>
      <c r="E811" s="3">
        <v>42896</v>
      </c>
      <c r="F811">
        <f t="shared" si="24"/>
        <v>6</v>
      </c>
      <c r="G811">
        <f t="shared" si="25"/>
        <v>2017</v>
      </c>
    </row>
    <row r="812" spans="1:7" x14ac:dyDescent="0.25">
      <c r="A812" s="2" t="s">
        <v>2484</v>
      </c>
      <c r="B812" s="2" t="s">
        <v>2485</v>
      </c>
      <c r="C812" s="2" t="s">
        <v>376</v>
      </c>
      <c r="D812" s="2" t="s">
        <v>2486</v>
      </c>
      <c r="E812" s="3">
        <v>42896</v>
      </c>
      <c r="F812">
        <f t="shared" si="24"/>
        <v>6</v>
      </c>
      <c r="G812">
        <f t="shared" si="25"/>
        <v>2017</v>
      </c>
    </row>
    <row r="813" spans="1:7" x14ac:dyDescent="0.25">
      <c r="A813" s="2" t="s">
        <v>2487</v>
      </c>
      <c r="B813" s="2" t="s">
        <v>2488</v>
      </c>
      <c r="C813" s="2" t="s">
        <v>2489</v>
      </c>
      <c r="D813" s="2" t="s">
        <v>2490</v>
      </c>
      <c r="E813" s="3">
        <v>42895</v>
      </c>
      <c r="F813">
        <f t="shared" si="24"/>
        <v>6</v>
      </c>
      <c r="G813">
        <f t="shared" si="25"/>
        <v>2017</v>
      </c>
    </row>
    <row r="814" spans="1:7" x14ac:dyDescent="0.25">
      <c r="A814" s="2" t="s">
        <v>294</v>
      </c>
      <c r="B814" s="2" t="s">
        <v>2491</v>
      </c>
      <c r="C814" s="2" t="s">
        <v>1972</v>
      </c>
      <c r="D814" s="2" t="s">
        <v>2492</v>
      </c>
      <c r="E814" s="3">
        <v>42894</v>
      </c>
      <c r="F814">
        <f t="shared" si="24"/>
        <v>6</v>
      </c>
      <c r="G814">
        <f t="shared" si="25"/>
        <v>2017</v>
      </c>
    </row>
    <row r="815" spans="1:7" x14ac:dyDescent="0.25">
      <c r="A815" s="2" t="s">
        <v>2493</v>
      </c>
      <c r="B815" s="2" t="s">
        <v>2494</v>
      </c>
      <c r="C815" s="2" t="s">
        <v>2495</v>
      </c>
      <c r="D815" s="2" t="s">
        <v>2496</v>
      </c>
      <c r="E815" s="3">
        <v>42894</v>
      </c>
      <c r="F815">
        <f t="shared" si="24"/>
        <v>6</v>
      </c>
      <c r="G815">
        <f t="shared" si="25"/>
        <v>2017</v>
      </c>
    </row>
    <row r="816" spans="1:7" x14ac:dyDescent="0.25">
      <c r="A816" s="2" t="s">
        <v>2497</v>
      </c>
      <c r="B816" s="2" t="s">
        <v>2498</v>
      </c>
      <c r="C816" s="2" t="s">
        <v>140</v>
      </c>
      <c r="D816" s="2" t="s">
        <v>2499</v>
      </c>
      <c r="E816" s="3">
        <v>42894</v>
      </c>
      <c r="F816">
        <f t="shared" si="24"/>
        <v>6</v>
      </c>
      <c r="G816">
        <f t="shared" si="25"/>
        <v>2017</v>
      </c>
    </row>
    <row r="817" spans="1:7" x14ac:dyDescent="0.25">
      <c r="A817" s="2" t="s">
        <v>977</v>
      </c>
      <c r="B817" s="2" t="s">
        <v>2500</v>
      </c>
      <c r="C817" s="2" t="s">
        <v>140</v>
      </c>
      <c r="D817" s="2" t="s">
        <v>2501</v>
      </c>
      <c r="E817" s="3">
        <v>42894</v>
      </c>
      <c r="F817">
        <f t="shared" si="24"/>
        <v>6</v>
      </c>
      <c r="G817">
        <f t="shared" si="25"/>
        <v>2017</v>
      </c>
    </row>
    <row r="818" spans="1:7" x14ac:dyDescent="0.25">
      <c r="A818" s="2" t="s">
        <v>2502</v>
      </c>
      <c r="B818" s="2" t="s">
        <v>2503</v>
      </c>
      <c r="C818" s="2" t="s">
        <v>140</v>
      </c>
      <c r="D818" s="2" t="s">
        <v>2504</v>
      </c>
      <c r="E818" s="3">
        <v>42894</v>
      </c>
      <c r="F818">
        <f t="shared" si="24"/>
        <v>6</v>
      </c>
      <c r="G818">
        <f t="shared" si="25"/>
        <v>2017</v>
      </c>
    </row>
    <row r="819" spans="1:7" x14ac:dyDescent="0.25">
      <c r="A819" s="2" t="s">
        <v>2505</v>
      </c>
      <c r="B819" s="2" t="s">
        <v>2506</v>
      </c>
      <c r="C819" s="2" t="s">
        <v>2507</v>
      </c>
      <c r="D819" s="2" t="s">
        <v>2508</v>
      </c>
      <c r="E819" s="3">
        <v>42894</v>
      </c>
      <c r="F819">
        <f t="shared" si="24"/>
        <v>6</v>
      </c>
      <c r="G819">
        <f t="shared" si="25"/>
        <v>2017</v>
      </c>
    </row>
    <row r="820" spans="1:7" x14ac:dyDescent="0.25">
      <c r="A820" s="2" t="s">
        <v>393</v>
      </c>
      <c r="B820" s="2" t="s">
        <v>668</v>
      </c>
      <c r="C820" s="2" t="s">
        <v>140</v>
      </c>
      <c r="D820" s="2" t="s">
        <v>2509</v>
      </c>
      <c r="E820" s="3">
        <v>42892</v>
      </c>
      <c r="F820">
        <f t="shared" si="24"/>
        <v>6</v>
      </c>
      <c r="G820">
        <f t="shared" si="25"/>
        <v>2017</v>
      </c>
    </row>
    <row r="821" spans="1:7" x14ac:dyDescent="0.25">
      <c r="A821" s="2" t="s">
        <v>2510</v>
      </c>
      <c r="B821" s="2" t="s">
        <v>2511</v>
      </c>
      <c r="C821" s="2" t="s">
        <v>140</v>
      </c>
      <c r="D821" s="2" t="s">
        <v>572</v>
      </c>
      <c r="E821" s="3">
        <v>42891</v>
      </c>
      <c r="F821">
        <f t="shared" si="24"/>
        <v>6</v>
      </c>
      <c r="G821">
        <f t="shared" si="25"/>
        <v>2017</v>
      </c>
    </row>
    <row r="822" spans="1:7" x14ac:dyDescent="0.25">
      <c r="A822" s="2" t="s">
        <v>2512</v>
      </c>
      <c r="B822" s="2" t="s">
        <v>1199</v>
      </c>
      <c r="C822" s="2" t="s">
        <v>65</v>
      </c>
      <c r="D822" s="2" t="s">
        <v>74</v>
      </c>
      <c r="E822" s="3">
        <v>42891</v>
      </c>
      <c r="F822">
        <f t="shared" si="24"/>
        <v>6</v>
      </c>
      <c r="G822">
        <f t="shared" si="25"/>
        <v>2017</v>
      </c>
    </row>
    <row r="823" spans="1:7" x14ac:dyDescent="0.25">
      <c r="A823" s="2" t="s">
        <v>29</v>
      </c>
      <c r="B823" s="2" t="s">
        <v>493</v>
      </c>
      <c r="C823" s="2" t="s">
        <v>140</v>
      </c>
      <c r="D823" s="2" t="s">
        <v>1529</v>
      </c>
      <c r="E823" s="3">
        <v>42891</v>
      </c>
      <c r="F823">
        <f t="shared" si="24"/>
        <v>6</v>
      </c>
      <c r="G823">
        <f t="shared" si="25"/>
        <v>2017</v>
      </c>
    </row>
    <row r="824" spans="1:7" x14ac:dyDescent="0.25">
      <c r="A824" s="2" t="s">
        <v>2513</v>
      </c>
      <c r="B824" s="2" t="s">
        <v>2514</v>
      </c>
      <c r="C824" s="2" t="s">
        <v>833</v>
      </c>
      <c r="D824" s="2" t="s">
        <v>2515</v>
      </c>
      <c r="E824" s="3">
        <v>42890</v>
      </c>
      <c r="F824">
        <f t="shared" si="24"/>
        <v>6</v>
      </c>
      <c r="G824">
        <f t="shared" si="25"/>
        <v>2017</v>
      </c>
    </row>
    <row r="825" spans="1:7" x14ac:dyDescent="0.25">
      <c r="A825" s="2" t="s">
        <v>1485</v>
      </c>
      <c r="B825" s="2" t="s">
        <v>2516</v>
      </c>
      <c r="C825" s="2" t="s">
        <v>508</v>
      </c>
      <c r="D825" s="2" t="s">
        <v>2517</v>
      </c>
      <c r="E825" s="3">
        <v>42890</v>
      </c>
      <c r="F825">
        <f t="shared" si="24"/>
        <v>6</v>
      </c>
      <c r="G825">
        <f t="shared" si="25"/>
        <v>2017</v>
      </c>
    </row>
    <row r="826" spans="1:7" x14ac:dyDescent="0.25">
      <c r="A826" s="2" t="s">
        <v>2416</v>
      </c>
      <c r="B826" s="2" t="s">
        <v>2518</v>
      </c>
      <c r="C826" s="2" t="s">
        <v>437</v>
      </c>
      <c r="D826" s="2" t="s">
        <v>1672</v>
      </c>
      <c r="E826" s="3">
        <v>42890</v>
      </c>
      <c r="F826">
        <f t="shared" si="24"/>
        <v>6</v>
      </c>
      <c r="G826">
        <f t="shared" si="25"/>
        <v>2017</v>
      </c>
    </row>
    <row r="827" spans="1:7" ht="24" x14ac:dyDescent="0.25">
      <c r="A827" s="2" t="s">
        <v>5</v>
      </c>
      <c r="B827" s="2" t="s">
        <v>2519</v>
      </c>
      <c r="C827" s="2" t="s">
        <v>2520</v>
      </c>
      <c r="D827" s="2" t="s">
        <v>2521</v>
      </c>
      <c r="E827" s="3">
        <v>42890</v>
      </c>
      <c r="F827">
        <f t="shared" si="24"/>
        <v>6</v>
      </c>
      <c r="G827">
        <f t="shared" si="25"/>
        <v>2017</v>
      </c>
    </row>
    <row r="828" spans="1:7" x14ac:dyDescent="0.25">
      <c r="A828" s="2" t="s">
        <v>2522</v>
      </c>
      <c r="B828" s="2" t="s">
        <v>2523</v>
      </c>
      <c r="C828" s="2" t="s">
        <v>42</v>
      </c>
      <c r="D828" s="2" t="s">
        <v>2439</v>
      </c>
      <c r="E828" s="3">
        <v>42888</v>
      </c>
      <c r="F828">
        <f t="shared" si="24"/>
        <v>6</v>
      </c>
      <c r="G828">
        <f t="shared" si="25"/>
        <v>2017</v>
      </c>
    </row>
    <row r="829" spans="1:7" x14ac:dyDescent="0.25">
      <c r="A829" s="2" t="s">
        <v>2524</v>
      </c>
      <c r="B829" s="2" t="s">
        <v>2525</v>
      </c>
      <c r="C829" s="2" t="s">
        <v>23</v>
      </c>
      <c r="D829" s="2" t="s">
        <v>2526</v>
      </c>
      <c r="E829" s="3">
        <v>42888</v>
      </c>
      <c r="F829">
        <f t="shared" si="24"/>
        <v>6</v>
      </c>
      <c r="G829">
        <f t="shared" si="25"/>
        <v>2017</v>
      </c>
    </row>
    <row r="830" spans="1:7" x14ac:dyDescent="0.25">
      <c r="A830" s="2" t="s">
        <v>2527</v>
      </c>
      <c r="B830" s="2" t="s">
        <v>2528</v>
      </c>
      <c r="C830" s="2" t="s">
        <v>140</v>
      </c>
      <c r="D830" s="2" t="s">
        <v>740</v>
      </c>
      <c r="E830" s="3">
        <v>42888</v>
      </c>
      <c r="F830">
        <f t="shared" si="24"/>
        <v>6</v>
      </c>
      <c r="G830">
        <f t="shared" si="25"/>
        <v>2017</v>
      </c>
    </row>
    <row r="831" spans="1:7" x14ac:dyDescent="0.25">
      <c r="A831" s="2" t="s">
        <v>2529</v>
      </c>
      <c r="B831" s="2" t="s">
        <v>2530</v>
      </c>
      <c r="C831" s="2" t="s">
        <v>140</v>
      </c>
      <c r="D831" s="2" t="s">
        <v>1672</v>
      </c>
      <c r="E831" s="3">
        <v>42888</v>
      </c>
      <c r="F831">
        <f t="shared" si="24"/>
        <v>6</v>
      </c>
      <c r="G831">
        <f t="shared" si="25"/>
        <v>2017</v>
      </c>
    </row>
    <row r="832" spans="1:7" x14ac:dyDescent="0.25">
      <c r="A832" s="2" t="s">
        <v>2531</v>
      </c>
      <c r="B832" s="2" t="s">
        <v>2532</v>
      </c>
      <c r="C832" s="2" t="s">
        <v>140</v>
      </c>
      <c r="D832" s="2" t="s">
        <v>1672</v>
      </c>
      <c r="E832" s="3">
        <v>42887</v>
      </c>
      <c r="F832">
        <f t="shared" si="24"/>
        <v>6</v>
      </c>
      <c r="G832">
        <f t="shared" si="25"/>
        <v>2017</v>
      </c>
    </row>
    <row r="833" spans="1:7" x14ac:dyDescent="0.25">
      <c r="A833" s="2" t="s">
        <v>1991</v>
      </c>
      <c r="B833" s="2" t="s">
        <v>2246</v>
      </c>
      <c r="C833" s="2" t="s">
        <v>2533</v>
      </c>
      <c r="D833" s="2" t="s">
        <v>2534</v>
      </c>
      <c r="E833" s="3">
        <v>42887</v>
      </c>
      <c r="F833">
        <f t="shared" si="24"/>
        <v>6</v>
      </c>
      <c r="G833">
        <f t="shared" si="25"/>
        <v>2017</v>
      </c>
    </row>
    <row r="834" spans="1:7" x14ac:dyDescent="0.25">
      <c r="A834" s="2" t="s">
        <v>2535</v>
      </c>
      <c r="B834" s="2" t="s">
        <v>2536</v>
      </c>
      <c r="C834" s="2" t="s">
        <v>609</v>
      </c>
      <c r="D834" s="2" t="s">
        <v>2537</v>
      </c>
      <c r="E834" s="3">
        <v>42879</v>
      </c>
      <c r="F834">
        <f t="shared" si="24"/>
        <v>5</v>
      </c>
      <c r="G834">
        <f t="shared" si="25"/>
        <v>2017</v>
      </c>
    </row>
    <row r="835" spans="1:7" x14ac:dyDescent="0.25">
      <c r="A835" s="2" t="s">
        <v>2538</v>
      </c>
      <c r="B835" s="2" t="s">
        <v>2539</v>
      </c>
      <c r="C835" s="2" t="s">
        <v>2540</v>
      </c>
      <c r="D835" s="2" t="s">
        <v>2541</v>
      </c>
      <c r="E835" s="3">
        <v>42873</v>
      </c>
      <c r="F835">
        <f t="shared" ref="F835:F898" si="26">MONTH(E835)</f>
        <v>5</v>
      </c>
      <c r="G835">
        <f t="shared" ref="G835:G898" si="27">YEAR(E835)</f>
        <v>2017</v>
      </c>
    </row>
    <row r="836" spans="1:7" x14ac:dyDescent="0.25">
      <c r="A836" s="2" t="s">
        <v>2542</v>
      </c>
      <c r="B836" s="2" t="s">
        <v>2543</v>
      </c>
      <c r="C836" s="2" t="s">
        <v>2544</v>
      </c>
      <c r="D836" s="2" t="s">
        <v>128</v>
      </c>
      <c r="E836" s="3">
        <v>42873</v>
      </c>
      <c r="F836">
        <f t="shared" si="26"/>
        <v>5</v>
      </c>
      <c r="G836">
        <f t="shared" si="27"/>
        <v>2017</v>
      </c>
    </row>
    <row r="837" spans="1:7" x14ac:dyDescent="0.25">
      <c r="A837" s="2" t="s">
        <v>2545</v>
      </c>
      <c r="B837" s="2" t="s">
        <v>2546</v>
      </c>
      <c r="C837" s="2" t="s">
        <v>1367</v>
      </c>
      <c r="D837" s="2" t="s">
        <v>2439</v>
      </c>
      <c r="E837" s="3">
        <v>42866</v>
      </c>
      <c r="F837">
        <f t="shared" si="26"/>
        <v>5</v>
      </c>
      <c r="G837">
        <f t="shared" si="27"/>
        <v>2017</v>
      </c>
    </row>
    <row r="838" spans="1:7" x14ac:dyDescent="0.25">
      <c r="A838" s="2" t="s">
        <v>715</v>
      </c>
      <c r="B838" s="2" t="s">
        <v>2547</v>
      </c>
      <c r="C838" s="2" t="s">
        <v>2548</v>
      </c>
      <c r="D838" s="2" t="s">
        <v>2549</v>
      </c>
      <c r="E838" s="3">
        <v>42866</v>
      </c>
      <c r="F838">
        <f t="shared" si="26"/>
        <v>5</v>
      </c>
      <c r="G838">
        <f t="shared" si="27"/>
        <v>2017</v>
      </c>
    </row>
    <row r="839" spans="1:7" x14ac:dyDescent="0.25">
      <c r="A839" s="2" t="s">
        <v>2550</v>
      </c>
      <c r="B839" s="2" t="s">
        <v>1184</v>
      </c>
      <c r="C839" s="2" t="s">
        <v>1929</v>
      </c>
      <c r="D839" s="2" t="s">
        <v>2551</v>
      </c>
      <c r="E839" s="3">
        <v>42854</v>
      </c>
      <c r="F839">
        <f t="shared" si="26"/>
        <v>4</v>
      </c>
      <c r="G839">
        <f t="shared" si="27"/>
        <v>2017</v>
      </c>
    </row>
    <row r="840" spans="1:7" x14ac:dyDescent="0.25">
      <c r="A840" s="2" t="s">
        <v>2552</v>
      </c>
      <c r="B840" s="2" t="s">
        <v>2553</v>
      </c>
      <c r="C840" s="2" t="s">
        <v>2041</v>
      </c>
      <c r="D840" s="2" t="s">
        <v>2554</v>
      </c>
      <c r="E840" s="3">
        <v>42829</v>
      </c>
      <c r="F840">
        <f t="shared" si="26"/>
        <v>4</v>
      </c>
      <c r="G840">
        <f t="shared" si="27"/>
        <v>2017</v>
      </c>
    </row>
    <row r="841" spans="1:7" x14ac:dyDescent="0.25">
      <c r="A841" s="2" t="s">
        <v>2555</v>
      </c>
      <c r="B841" s="2" t="s">
        <v>2556</v>
      </c>
      <c r="C841" s="2" t="s">
        <v>576</v>
      </c>
      <c r="D841" s="2" t="s">
        <v>2557</v>
      </c>
      <c r="E841" s="3">
        <v>42783</v>
      </c>
      <c r="F841">
        <f t="shared" si="26"/>
        <v>2</v>
      </c>
      <c r="G841">
        <f t="shared" si="27"/>
        <v>2017</v>
      </c>
    </row>
    <row r="842" spans="1:7" x14ac:dyDescent="0.25">
      <c r="A842" s="2" t="s">
        <v>2558</v>
      </c>
      <c r="B842" s="2" t="s">
        <v>281</v>
      </c>
      <c r="C842" s="2" t="s">
        <v>2559</v>
      </c>
      <c r="D842" s="2" t="s">
        <v>2560</v>
      </c>
      <c r="E842" s="3">
        <v>42783</v>
      </c>
      <c r="F842">
        <f t="shared" si="26"/>
        <v>2</v>
      </c>
      <c r="G842">
        <f t="shared" si="27"/>
        <v>2017</v>
      </c>
    </row>
    <row r="843" spans="1:7" x14ac:dyDescent="0.25">
      <c r="A843" s="2" t="s">
        <v>2561</v>
      </c>
      <c r="B843" s="2" t="s">
        <v>2562</v>
      </c>
      <c r="C843" s="2" t="s">
        <v>2563</v>
      </c>
      <c r="D843" s="2" t="s">
        <v>2564</v>
      </c>
      <c r="E843" s="3">
        <v>42774</v>
      </c>
      <c r="F843">
        <f t="shared" si="26"/>
        <v>2</v>
      </c>
      <c r="G843">
        <f t="shared" si="27"/>
        <v>2017</v>
      </c>
    </row>
    <row r="844" spans="1:7" x14ac:dyDescent="0.25">
      <c r="A844" s="2" t="s">
        <v>2565</v>
      </c>
      <c r="B844" s="2" t="s">
        <v>2566</v>
      </c>
      <c r="C844" s="2" t="s">
        <v>833</v>
      </c>
      <c r="D844" s="2" t="s">
        <v>2567</v>
      </c>
      <c r="E844" s="3">
        <v>42760</v>
      </c>
      <c r="F844">
        <f t="shared" si="26"/>
        <v>1</v>
      </c>
      <c r="G844">
        <f t="shared" si="27"/>
        <v>2017</v>
      </c>
    </row>
    <row r="845" spans="1:7" ht="24" x14ac:dyDescent="0.25">
      <c r="A845" s="2" t="s">
        <v>2568</v>
      </c>
      <c r="B845" s="2" t="s">
        <v>2569</v>
      </c>
      <c r="C845" s="2" t="s">
        <v>2570</v>
      </c>
      <c r="D845" s="2" t="s">
        <v>2571</v>
      </c>
      <c r="E845" s="3">
        <v>42759</v>
      </c>
      <c r="F845">
        <f t="shared" si="26"/>
        <v>1</v>
      </c>
      <c r="G845">
        <f t="shared" si="27"/>
        <v>2017</v>
      </c>
    </row>
    <row r="846" spans="1:7" x14ac:dyDescent="0.25">
      <c r="A846" s="2" t="s">
        <v>2572</v>
      </c>
      <c r="B846" s="2" t="s">
        <v>2573</v>
      </c>
      <c r="C846" s="2" t="s">
        <v>140</v>
      </c>
      <c r="D846" s="2" t="s">
        <v>1638</v>
      </c>
      <c r="E846" s="3">
        <v>42759</v>
      </c>
      <c r="F846">
        <f t="shared" si="26"/>
        <v>1</v>
      </c>
      <c r="G846">
        <f t="shared" si="27"/>
        <v>2017</v>
      </c>
    </row>
    <row r="847" spans="1:7" x14ac:dyDescent="0.25">
      <c r="A847" s="2" t="s">
        <v>2574</v>
      </c>
      <c r="B847" s="2" t="s">
        <v>2575</v>
      </c>
      <c r="C847" s="2" t="s">
        <v>2576</v>
      </c>
      <c r="D847" s="2" t="s">
        <v>2577</v>
      </c>
      <c r="E847" s="3">
        <v>42751</v>
      </c>
      <c r="F847">
        <f t="shared" si="26"/>
        <v>1</v>
      </c>
      <c r="G847">
        <f t="shared" si="27"/>
        <v>2017</v>
      </c>
    </row>
    <row r="848" spans="1:7" x14ac:dyDescent="0.25">
      <c r="A848" s="2" t="s">
        <v>1498</v>
      </c>
      <c r="B848" s="2" t="s">
        <v>232</v>
      </c>
      <c r="C848" s="2" t="s">
        <v>2578</v>
      </c>
      <c r="D848" s="2" t="s">
        <v>2579</v>
      </c>
      <c r="E848" s="3">
        <v>42748</v>
      </c>
      <c r="F848">
        <f t="shared" si="26"/>
        <v>1</v>
      </c>
      <c r="G848">
        <f t="shared" si="27"/>
        <v>2017</v>
      </c>
    </row>
    <row r="849" spans="1:7" x14ac:dyDescent="0.25">
      <c r="A849" s="2" t="s">
        <v>2580</v>
      </c>
      <c r="B849" s="2" t="s">
        <v>2581</v>
      </c>
      <c r="C849" s="2" t="s">
        <v>2582</v>
      </c>
      <c r="D849" s="2" t="s">
        <v>2583</v>
      </c>
      <c r="E849" s="3">
        <v>42741</v>
      </c>
      <c r="F849">
        <f t="shared" si="26"/>
        <v>1</v>
      </c>
      <c r="G849">
        <f t="shared" si="27"/>
        <v>2017</v>
      </c>
    </row>
    <row r="850" spans="1:7" x14ac:dyDescent="0.25">
      <c r="A850" s="2" t="s">
        <v>2433</v>
      </c>
      <c r="B850" s="2" t="s">
        <v>2584</v>
      </c>
      <c r="C850" s="2" t="s">
        <v>42</v>
      </c>
      <c r="D850" s="2" t="s">
        <v>2585</v>
      </c>
      <c r="E850" s="3">
        <v>42732</v>
      </c>
      <c r="F850">
        <f t="shared" si="26"/>
        <v>12</v>
      </c>
      <c r="G850">
        <f t="shared" si="27"/>
        <v>2016</v>
      </c>
    </row>
    <row r="851" spans="1:7" x14ac:dyDescent="0.25">
      <c r="A851" s="2" t="s">
        <v>1947</v>
      </c>
      <c r="B851" s="2" t="s">
        <v>2586</v>
      </c>
      <c r="C851" s="2" t="s">
        <v>2587</v>
      </c>
      <c r="D851" s="2" t="s">
        <v>2588</v>
      </c>
      <c r="E851" s="3">
        <v>42731</v>
      </c>
      <c r="F851">
        <f t="shared" si="26"/>
        <v>12</v>
      </c>
      <c r="G851">
        <f t="shared" si="27"/>
        <v>2016</v>
      </c>
    </row>
    <row r="852" spans="1:7" x14ac:dyDescent="0.25">
      <c r="A852" s="2" t="s">
        <v>2589</v>
      </c>
      <c r="B852" s="2" t="s">
        <v>2590</v>
      </c>
      <c r="C852" s="2" t="s">
        <v>140</v>
      </c>
      <c r="D852" s="2" t="s">
        <v>2591</v>
      </c>
      <c r="E852" s="3">
        <v>42731</v>
      </c>
      <c r="F852">
        <f t="shared" si="26"/>
        <v>12</v>
      </c>
      <c r="G852">
        <f t="shared" si="27"/>
        <v>2016</v>
      </c>
    </row>
    <row r="853" spans="1:7" x14ac:dyDescent="0.25">
      <c r="A853" s="2" t="s">
        <v>2592</v>
      </c>
      <c r="B853" s="2" t="s">
        <v>2593</v>
      </c>
      <c r="C853" s="2" t="s">
        <v>1617</v>
      </c>
      <c r="D853" s="2" t="s">
        <v>2594</v>
      </c>
      <c r="E853" s="3">
        <v>42731</v>
      </c>
      <c r="F853">
        <f t="shared" si="26"/>
        <v>12</v>
      </c>
      <c r="G853">
        <f t="shared" si="27"/>
        <v>2016</v>
      </c>
    </row>
    <row r="854" spans="1:7" x14ac:dyDescent="0.25">
      <c r="A854" s="2" t="s">
        <v>2595</v>
      </c>
      <c r="B854" s="2" t="s">
        <v>2596</v>
      </c>
      <c r="C854" s="2" t="s">
        <v>956</v>
      </c>
      <c r="D854" s="2" t="s">
        <v>2597</v>
      </c>
      <c r="E854" s="3">
        <v>42731</v>
      </c>
      <c r="F854">
        <f t="shared" si="26"/>
        <v>12</v>
      </c>
      <c r="G854">
        <f t="shared" si="27"/>
        <v>2016</v>
      </c>
    </row>
    <row r="855" spans="1:7" ht="24" x14ac:dyDescent="0.25">
      <c r="A855" s="2" t="s">
        <v>2598</v>
      </c>
      <c r="B855" s="2" t="s">
        <v>1338</v>
      </c>
      <c r="C855" s="2" t="s">
        <v>2153</v>
      </c>
      <c r="D855" s="2" t="s">
        <v>2599</v>
      </c>
      <c r="E855" s="3">
        <v>42731</v>
      </c>
      <c r="F855">
        <f t="shared" si="26"/>
        <v>12</v>
      </c>
      <c r="G855">
        <f t="shared" si="27"/>
        <v>2016</v>
      </c>
    </row>
    <row r="856" spans="1:7" x14ac:dyDescent="0.25">
      <c r="A856" s="2" t="s">
        <v>2600</v>
      </c>
      <c r="B856" s="2" t="s">
        <v>2601</v>
      </c>
      <c r="C856" s="2" t="s">
        <v>140</v>
      </c>
      <c r="D856" s="2" t="s">
        <v>2602</v>
      </c>
      <c r="E856" s="3">
        <v>42731</v>
      </c>
      <c r="F856">
        <f t="shared" si="26"/>
        <v>12</v>
      </c>
      <c r="G856">
        <f t="shared" si="27"/>
        <v>2016</v>
      </c>
    </row>
    <row r="857" spans="1:7" x14ac:dyDescent="0.25">
      <c r="A857" s="2" t="s">
        <v>2603</v>
      </c>
      <c r="B857" s="2" t="s">
        <v>2604</v>
      </c>
      <c r="C857" s="2" t="s">
        <v>2605</v>
      </c>
      <c r="D857" s="2" t="s">
        <v>2606</v>
      </c>
      <c r="E857" s="3">
        <v>42731</v>
      </c>
      <c r="F857">
        <f t="shared" si="26"/>
        <v>12</v>
      </c>
      <c r="G857">
        <f t="shared" si="27"/>
        <v>2016</v>
      </c>
    </row>
    <row r="858" spans="1:7" x14ac:dyDescent="0.25">
      <c r="A858" s="2" t="s">
        <v>977</v>
      </c>
      <c r="B858" s="2" t="s">
        <v>2607</v>
      </c>
      <c r="C858" s="2" t="s">
        <v>140</v>
      </c>
      <c r="D858" s="2" t="s">
        <v>2608</v>
      </c>
      <c r="E858" s="3">
        <v>42731</v>
      </c>
      <c r="F858">
        <f t="shared" si="26"/>
        <v>12</v>
      </c>
      <c r="G858">
        <f t="shared" si="27"/>
        <v>2016</v>
      </c>
    </row>
    <row r="859" spans="1:7" ht="24" x14ac:dyDescent="0.25">
      <c r="A859" s="2" t="s">
        <v>1210</v>
      </c>
      <c r="B859" s="2" t="s">
        <v>2604</v>
      </c>
      <c r="C859" s="2" t="s">
        <v>27</v>
      </c>
      <c r="D859" s="2" t="s">
        <v>2609</v>
      </c>
      <c r="E859" s="3">
        <v>42703</v>
      </c>
      <c r="F859">
        <f t="shared" si="26"/>
        <v>11</v>
      </c>
      <c r="G859">
        <f t="shared" si="27"/>
        <v>2016</v>
      </c>
    </row>
    <row r="860" spans="1:7" x14ac:dyDescent="0.25">
      <c r="A860" s="2" t="s">
        <v>488</v>
      </c>
      <c r="B860" s="2" t="s">
        <v>2610</v>
      </c>
      <c r="C860" s="2" t="s">
        <v>140</v>
      </c>
      <c r="D860" s="2" t="s">
        <v>1672</v>
      </c>
      <c r="E860" s="3">
        <v>42703</v>
      </c>
      <c r="F860">
        <f t="shared" si="26"/>
        <v>11</v>
      </c>
      <c r="G860">
        <f t="shared" si="27"/>
        <v>2016</v>
      </c>
    </row>
    <row r="861" spans="1:7" x14ac:dyDescent="0.25">
      <c r="A861" s="2" t="s">
        <v>2611</v>
      </c>
      <c r="B861" s="2" t="s">
        <v>101</v>
      </c>
      <c r="C861" s="2" t="s">
        <v>140</v>
      </c>
      <c r="D861" s="2" t="s">
        <v>2612</v>
      </c>
      <c r="E861" s="3">
        <v>42690</v>
      </c>
      <c r="F861">
        <f t="shared" si="26"/>
        <v>11</v>
      </c>
      <c r="G861">
        <f t="shared" si="27"/>
        <v>2016</v>
      </c>
    </row>
    <row r="862" spans="1:7" x14ac:dyDescent="0.25">
      <c r="A862" s="2" t="s">
        <v>2613</v>
      </c>
      <c r="B862" s="2" t="s">
        <v>1131</v>
      </c>
      <c r="C862" s="2" t="s">
        <v>2614</v>
      </c>
      <c r="D862" s="2" t="s">
        <v>2615</v>
      </c>
      <c r="E862" s="3">
        <v>42689</v>
      </c>
      <c r="F862">
        <f t="shared" si="26"/>
        <v>11</v>
      </c>
      <c r="G862">
        <f t="shared" si="27"/>
        <v>2016</v>
      </c>
    </row>
    <row r="863" spans="1:7" x14ac:dyDescent="0.25">
      <c r="A863" s="2" t="s">
        <v>2616</v>
      </c>
      <c r="B863" s="2" t="s">
        <v>2617</v>
      </c>
      <c r="C863" s="2" t="s">
        <v>2618</v>
      </c>
      <c r="D863" s="2" t="s">
        <v>670</v>
      </c>
      <c r="E863" s="3">
        <v>42686</v>
      </c>
      <c r="F863">
        <f t="shared" si="26"/>
        <v>11</v>
      </c>
      <c r="G863">
        <f t="shared" si="27"/>
        <v>2016</v>
      </c>
    </row>
    <row r="864" spans="1:7" x14ac:dyDescent="0.25">
      <c r="A864" s="2" t="s">
        <v>2619</v>
      </c>
      <c r="B864" s="2" t="s">
        <v>2620</v>
      </c>
      <c r="C864" s="2" t="s">
        <v>2621</v>
      </c>
      <c r="D864" s="2" t="s">
        <v>2622</v>
      </c>
      <c r="E864" s="3">
        <v>42684</v>
      </c>
      <c r="F864">
        <f t="shared" si="26"/>
        <v>11</v>
      </c>
      <c r="G864">
        <f t="shared" si="27"/>
        <v>2016</v>
      </c>
    </row>
    <row r="865" spans="1:7" x14ac:dyDescent="0.25">
      <c r="A865" s="2" t="s">
        <v>268</v>
      </c>
      <c r="B865" s="2" t="s">
        <v>181</v>
      </c>
      <c r="C865" s="2" t="s">
        <v>1405</v>
      </c>
      <c r="D865" s="2" t="s">
        <v>124</v>
      </c>
      <c r="E865" s="3">
        <v>42680</v>
      </c>
      <c r="F865">
        <f t="shared" si="26"/>
        <v>11</v>
      </c>
      <c r="G865">
        <f t="shared" si="27"/>
        <v>2016</v>
      </c>
    </row>
    <row r="866" spans="1:7" x14ac:dyDescent="0.25">
      <c r="A866" s="2" t="s">
        <v>526</v>
      </c>
      <c r="B866" s="2" t="s">
        <v>535</v>
      </c>
      <c r="C866" s="2" t="s">
        <v>140</v>
      </c>
      <c r="D866" s="2" t="s">
        <v>2623</v>
      </c>
      <c r="E866" s="3">
        <v>42678</v>
      </c>
      <c r="F866">
        <f t="shared" si="26"/>
        <v>11</v>
      </c>
      <c r="G866">
        <f t="shared" si="27"/>
        <v>2016</v>
      </c>
    </row>
    <row r="867" spans="1:7" x14ac:dyDescent="0.25">
      <c r="A867" s="2" t="s">
        <v>2624</v>
      </c>
      <c r="B867" s="2" t="s">
        <v>2625</v>
      </c>
      <c r="C867" s="2" t="s">
        <v>31</v>
      </c>
      <c r="D867" s="2" t="s">
        <v>2626</v>
      </c>
      <c r="E867" s="3">
        <v>42677</v>
      </c>
      <c r="F867">
        <f t="shared" si="26"/>
        <v>11</v>
      </c>
      <c r="G867">
        <f t="shared" si="27"/>
        <v>2016</v>
      </c>
    </row>
    <row r="868" spans="1:7" x14ac:dyDescent="0.25">
      <c r="A868" s="2" t="s">
        <v>2627</v>
      </c>
      <c r="B868" s="2" t="s">
        <v>2628</v>
      </c>
      <c r="C868" s="2" t="s">
        <v>2629</v>
      </c>
      <c r="D868" s="2" t="s">
        <v>2630</v>
      </c>
      <c r="E868" s="3">
        <v>42677</v>
      </c>
      <c r="F868">
        <f t="shared" si="26"/>
        <v>11</v>
      </c>
      <c r="G868">
        <f t="shared" si="27"/>
        <v>2016</v>
      </c>
    </row>
    <row r="869" spans="1:7" ht="24" x14ac:dyDescent="0.25">
      <c r="A869" s="2" t="s">
        <v>2631</v>
      </c>
      <c r="B869" s="2" t="s">
        <v>1779</v>
      </c>
      <c r="C869" s="2" t="s">
        <v>1739</v>
      </c>
      <c r="D869" s="2" t="s">
        <v>2632</v>
      </c>
      <c r="E869" s="3">
        <v>42677</v>
      </c>
      <c r="F869">
        <f t="shared" si="26"/>
        <v>11</v>
      </c>
      <c r="G869">
        <f t="shared" si="27"/>
        <v>2016</v>
      </c>
    </row>
    <row r="870" spans="1:7" ht="24" x14ac:dyDescent="0.25">
      <c r="A870" s="2" t="s">
        <v>679</v>
      </c>
      <c r="B870" s="2" t="s">
        <v>68</v>
      </c>
      <c r="C870" s="2" t="s">
        <v>2633</v>
      </c>
      <c r="D870" s="2" t="s">
        <v>2634</v>
      </c>
      <c r="E870" s="3">
        <v>42677</v>
      </c>
      <c r="F870">
        <f t="shared" si="26"/>
        <v>11</v>
      </c>
      <c r="G870">
        <f t="shared" si="27"/>
        <v>2016</v>
      </c>
    </row>
    <row r="871" spans="1:7" x14ac:dyDescent="0.25">
      <c r="A871" s="2" t="s">
        <v>2531</v>
      </c>
      <c r="B871" s="2" t="s">
        <v>1338</v>
      </c>
      <c r="C871" s="2"/>
      <c r="D871" s="2"/>
      <c r="E871" s="3">
        <v>42676</v>
      </c>
      <c r="F871">
        <f t="shared" si="26"/>
        <v>11</v>
      </c>
      <c r="G871">
        <f t="shared" si="27"/>
        <v>2016</v>
      </c>
    </row>
    <row r="872" spans="1:7" x14ac:dyDescent="0.25">
      <c r="A872" s="2" t="s">
        <v>2635</v>
      </c>
      <c r="B872" s="2" t="s">
        <v>268</v>
      </c>
      <c r="C872" s="2" t="s">
        <v>1324</v>
      </c>
      <c r="D872" s="2" t="s">
        <v>2636</v>
      </c>
      <c r="E872" s="3">
        <v>42675</v>
      </c>
      <c r="F872">
        <f t="shared" si="26"/>
        <v>11</v>
      </c>
      <c r="G872">
        <f t="shared" si="27"/>
        <v>2016</v>
      </c>
    </row>
    <row r="873" spans="1:7" x14ac:dyDescent="0.25">
      <c r="A873" s="2" t="s">
        <v>2637</v>
      </c>
      <c r="B873" s="2" t="s">
        <v>2638</v>
      </c>
      <c r="C873" s="2" t="s">
        <v>140</v>
      </c>
      <c r="D873" s="2" t="s">
        <v>2639</v>
      </c>
      <c r="E873" s="3">
        <v>42675</v>
      </c>
      <c r="F873">
        <f t="shared" si="26"/>
        <v>11</v>
      </c>
      <c r="G873">
        <f t="shared" si="27"/>
        <v>2016</v>
      </c>
    </row>
    <row r="874" spans="1:7" x14ac:dyDescent="0.25">
      <c r="A874" s="2" t="s">
        <v>2052</v>
      </c>
      <c r="B874" s="2" t="s">
        <v>2640</v>
      </c>
      <c r="C874" s="2" t="s">
        <v>2641</v>
      </c>
      <c r="D874" s="2" t="s">
        <v>28</v>
      </c>
      <c r="E874" s="3">
        <v>42674</v>
      </c>
      <c r="F874">
        <f t="shared" si="26"/>
        <v>10</v>
      </c>
      <c r="G874">
        <f t="shared" si="27"/>
        <v>2016</v>
      </c>
    </row>
    <row r="875" spans="1:7" x14ac:dyDescent="0.25">
      <c r="A875" s="2" t="s">
        <v>1351</v>
      </c>
      <c r="B875" s="2" t="s">
        <v>2136</v>
      </c>
      <c r="C875" s="2" t="s">
        <v>140</v>
      </c>
      <c r="D875" s="2" t="s">
        <v>2642</v>
      </c>
      <c r="E875" s="3">
        <v>42672</v>
      </c>
      <c r="F875">
        <f t="shared" si="26"/>
        <v>10</v>
      </c>
      <c r="G875">
        <f t="shared" si="27"/>
        <v>2016</v>
      </c>
    </row>
    <row r="876" spans="1:7" ht="24" x14ac:dyDescent="0.25">
      <c r="A876" s="2" t="s">
        <v>2643</v>
      </c>
      <c r="B876" s="2" t="s">
        <v>2644</v>
      </c>
      <c r="C876" s="2" t="s">
        <v>2645</v>
      </c>
      <c r="D876" s="2" t="s">
        <v>2646</v>
      </c>
      <c r="E876" s="3">
        <v>42669</v>
      </c>
      <c r="F876">
        <f t="shared" si="26"/>
        <v>10</v>
      </c>
      <c r="G876">
        <f t="shared" si="27"/>
        <v>2016</v>
      </c>
    </row>
    <row r="877" spans="1:7" x14ac:dyDescent="0.25">
      <c r="A877" s="2" t="s">
        <v>2647</v>
      </c>
      <c r="B877" s="2" t="s">
        <v>2648</v>
      </c>
      <c r="C877" s="2" t="s">
        <v>2649</v>
      </c>
      <c r="D877" s="2" t="s">
        <v>2650</v>
      </c>
      <c r="E877" s="3">
        <v>42669</v>
      </c>
      <c r="F877">
        <f t="shared" si="26"/>
        <v>10</v>
      </c>
      <c r="G877">
        <f t="shared" si="27"/>
        <v>2016</v>
      </c>
    </row>
    <row r="878" spans="1:7" x14ac:dyDescent="0.25">
      <c r="A878" s="2" t="s">
        <v>2651</v>
      </c>
      <c r="B878" s="2" t="s">
        <v>1034</v>
      </c>
      <c r="C878" s="2" t="s">
        <v>2652</v>
      </c>
      <c r="D878" s="2" t="s">
        <v>2653</v>
      </c>
      <c r="E878" s="3">
        <v>42669</v>
      </c>
      <c r="F878">
        <f t="shared" si="26"/>
        <v>10</v>
      </c>
      <c r="G878">
        <f t="shared" si="27"/>
        <v>2016</v>
      </c>
    </row>
    <row r="879" spans="1:7" x14ac:dyDescent="0.25">
      <c r="A879" s="2" t="s">
        <v>2654</v>
      </c>
      <c r="B879" s="2" t="s">
        <v>2655</v>
      </c>
      <c r="C879" s="2" t="s">
        <v>2656</v>
      </c>
      <c r="D879" s="2" t="s">
        <v>2657</v>
      </c>
      <c r="E879" s="3">
        <v>42669</v>
      </c>
      <c r="F879">
        <f t="shared" si="26"/>
        <v>10</v>
      </c>
      <c r="G879">
        <f t="shared" si="27"/>
        <v>2016</v>
      </c>
    </row>
    <row r="880" spans="1:7" x14ac:dyDescent="0.25">
      <c r="A880" s="2" t="s">
        <v>2658</v>
      </c>
      <c r="B880" s="2" t="s">
        <v>2659</v>
      </c>
      <c r="C880" s="2" t="s">
        <v>2660</v>
      </c>
      <c r="D880" s="2" t="s">
        <v>2661</v>
      </c>
      <c r="E880" s="3">
        <v>42669</v>
      </c>
      <c r="F880">
        <f t="shared" si="26"/>
        <v>10</v>
      </c>
      <c r="G880">
        <f t="shared" si="27"/>
        <v>2016</v>
      </c>
    </row>
    <row r="881" spans="1:7" ht="24" x14ac:dyDescent="0.25">
      <c r="A881" s="2" t="s">
        <v>2662</v>
      </c>
      <c r="B881" s="2" t="s">
        <v>2663</v>
      </c>
      <c r="C881" s="2" t="s">
        <v>2664</v>
      </c>
      <c r="D881" s="2" t="s">
        <v>2665</v>
      </c>
      <c r="E881" s="3">
        <v>42669</v>
      </c>
      <c r="F881">
        <f t="shared" si="26"/>
        <v>10</v>
      </c>
      <c r="G881">
        <f t="shared" si="27"/>
        <v>2016</v>
      </c>
    </row>
    <row r="882" spans="1:7" x14ac:dyDescent="0.25">
      <c r="A882" s="2" t="s">
        <v>2666</v>
      </c>
      <c r="B882" s="2" t="s">
        <v>2667</v>
      </c>
      <c r="C882" s="2" t="s">
        <v>2668</v>
      </c>
      <c r="D882" s="2" t="s">
        <v>627</v>
      </c>
      <c r="E882" s="3">
        <v>42669</v>
      </c>
      <c r="F882">
        <f t="shared" si="26"/>
        <v>10</v>
      </c>
      <c r="G882">
        <f t="shared" si="27"/>
        <v>2016</v>
      </c>
    </row>
    <row r="883" spans="1:7" ht="24" x14ac:dyDescent="0.25">
      <c r="A883" s="2" t="s">
        <v>2669</v>
      </c>
      <c r="B883" s="2" t="s">
        <v>2670</v>
      </c>
      <c r="C883" s="2" t="s">
        <v>2671</v>
      </c>
      <c r="D883" s="2" t="s">
        <v>2672</v>
      </c>
      <c r="E883" s="3">
        <v>42668</v>
      </c>
      <c r="F883">
        <f t="shared" si="26"/>
        <v>10</v>
      </c>
      <c r="G883">
        <f t="shared" si="27"/>
        <v>2016</v>
      </c>
    </row>
    <row r="884" spans="1:7" x14ac:dyDescent="0.25">
      <c r="A884" s="2" t="s">
        <v>1912</v>
      </c>
      <c r="B884" s="2" t="s">
        <v>2673</v>
      </c>
      <c r="C884" s="2" t="s">
        <v>251</v>
      </c>
      <c r="D884" s="2" t="s">
        <v>2674</v>
      </c>
      <c r="E884" s="3">
        <v>42667</v>
      </c>
      <c r="F884">
        <f t="shared" si="26"/>
        <v>10</v>
      </c>
      <c r="G884">
        <f t="shared" si="27"/>
        <v>2016</v>
      </c>
    </row>
    <row r="885" spans="1:7" x14ac:dyDescent="0.25">
      <c r="A885" s="2" t="s">
        <v>971</v>
      </c>
      <c r="B885" s="2" t="s">
        <v>1987</v>
      </c>
      <c r="C885" s="2" t="s">
        <v>2675</v>
      </c>
      <c r="D885" s="2" t="s">
        <v>2676</v>
      </c>
      <c r="E885" s="3">
        <v>42665</v>
      </c>
      <c r="F885">
        <f t="shared" si="26"/>
        <v>10</v>
      </c>
      <c r="G885">
        <f t="shared" si="27"/>
        <v>2016</v>
      </c>
    </row>
    <row r="886" spans="1:7" x14ac:dyDescent="0.25">
      <c r="A886" s="2" t="s">
        <v>530</v>
      </c>
      <c r="B886" s="2" t="s">
        <v>2677</v>
      </c>
      <c r="C886" s="2" t="s">
        <v>2678</v>
      </c>
      <c r="D886" s="2" t="s">
        <v>502</v>
      </c>
      <c r="E886" s="3">
        <v>42665</v>
      </c>
      <c r="F886">
        <f t="shared" si="26"/>
        <v>10</v>
      </c>
      <c r="G886">
        <f t="shared" si="27"/>
        <v>2016</v>
      </c>
    </row>
    <row r="887" spans="1:7" x14ac:dyDescent="0.25">
      <c r="A887" s="2" t="s">
        <v>2679</v>
      </c>
      <c r="B887" s="2" t="s">
        <v>262</v>
      </c>
      <c r="C887" s="2" t="s">
        <v>42</v>
      </c>
      <c r="D887" s="2" t="s">
        <v>2680</v>
      </c>
      <c r="E887" s="3">
        <v>42665</v>
      </c>
      <c r="F887">
        <f t="shared" si="26"/>
        <v>10</v>
      </c>
      <c r="G887">
        <f t="shared" si="27"/>
        <v>2016</v>
      </c>
    </row>
    <row r="888" spans="1:7" x14ac:dyDescent="0.25">
      <c r="A888" s="2" t="s">
        <v>1243</v>
      </c>
      <c r="B888" s="2" t="s">
        <v>2681</v>
      </c>
      <c r="C888" s="2" t="s">
        <v>140</v>
      </c>
      <c r="D888" s="2" t="s">
        <v>311</v>
      </c>
      <c r="E888" s="3">
        <v>42665</v>
      </c>
      <c r="F888">
        <f t="shared" si="26"/>
        <v>10</v>
      </c>
      <c r="G888">
        <f t="shared" si="27"/>
        <v>2016</v>
      </c>
    </row>
    <row r="889" spans="1:7" x14ac:dyDescent="0.25">
      <c r="A889" s="2" t="s">
        <v>2682</v>
      </c>
      <c r="B889" s="2" t="s">
        <v>2683</v>
      </c>
      <c r="C889" s="2" t="s">
        <v>2684</v>
      </c>
      <c r="D889" s="2" t="s">
        <v>670</v>
      </c>
      <c r="E889" s="3">
        <v>42665</v>
      </c>
      <c r="F889">
        <f t="shared" si="26"/>
        <v>10</v>
      </c>
      <c r="G889">
        <f t="shared" si="27"/>
        <v>2016</v>
      </c>
    </row>
    <row r="890" spans="1:7" x14ac:dyDescent="0.25">
      <c r="A890" s="2" t="s">
        <v>257</v>
      </c>
      <c r="B890" s="2" t="s">
        <v>2685</v>
      </c>
      <c r="C890" s="2" t="s">
        <v>57</v>
      </c>
      <c r="D890" s="2" t="s">
        <v>74</v>
      </c>
      <c r="E890" s="3">
        <v>42665</v>
      </c>
      <c r="F890">
        <f t="shared" si="26"/>
        <v>10</v>
      </c>
      <c r="G890">
        <f t="shared" si="27"/>
        <v>2016</v>
      </c>
    </row>
    <row r="891" spans="1:7" x14ac:dyDescent="0.25">
      <c r="A891" s="2" t="s">
        <v>2686</v>
      </c>
      <c r="B891" s="2" t="s">
        <v>668</v>
      </c>
      <c r="C891" s="2" t="s">
        <v>1106</v>
      </c>
      <c r="D891" s="2" t="s">
        <v>2687</v>
      </c>
      <c r="E891" s="3">
        <v>42663</v>
      </c>
      <c r="F891">
        <f t="shared" si="26"/>
        <v>10</v>
      </c>
      <c r="G891">
        <f t="shared" si="27"/>
        <v>2016</v>
      </c>
    </row>
    <row r="892" spans="1:7" x14ac:dyDescent="0.25">
      <c r="A892" s="2" t="s">
        <v>2688</v>
      </c>
      <c r="B892" s="2" t="s">
        <v>2689</v>
      </c>
      <c r="C892" s="2" t="s">
        <v>140</v>
      </c>
      <c r="D892" s="2" t="s">
        <v>2690</v>
      </c>
      <c r="E892" s="3">
        <v>42663</v>
      </c>
      <c r="F892">
        <f t="shared" si="26"/>
        <v>10</v>
      </c>
      <c r="G892">
        <f t="shared" si="27"/>
        <v>2016</v>
      </c>
    </row>
    <row r="893" spans="1:7" x14ac:dyDescent="0.25">
      <c r="A893" s="2" t="s">
        <v>2691</v>
      </c>
      <c r="B893" s="2" t="s">
        <v>2692</v>
      </c>
      <c r="C893" s="2" t="s">
        <v>501</v>
      </c>
      <c r="D893" s="2" t="s">
        <v>2693</v>
      </c>
      <c r="E893" s="3">
        <v>42659</v>
      </c>
      <c r="F893">
        <f t="shared" si="26"/>
        <v>10</v>
      </c>
      <c r="G893">
        <f t="shared" si="27"/>
        <v>2016</v>
      </c>
    </row>
    <row r="894" spans="1:7" ht="24" x14ac:dyDescent="0.25">
      <c r="A894" s="2" t="s">
        <v>133</v>
      </c>
      <c r="B894" s="2" t="s">
        <v>2694</v>
      </c>
      <c r="C894" s="2" t="s">
        <v>2633</v>
      </c>
      <c r="D894" s="2" t="s">
        <v>2695</v>
      </c>
      <c r="E894" s="3">
        <v>42638</v>
      </c>
      <c r="F894">
        <f t="shared" si="26"/>
        <v>9</v>
      </c>
      <c r="G894">
        <f t="shared" si="27"/>
        <v>2016</v>
      </c>
    </row>
    <row r="895" spans="1:7" x14ac:dyDescent="0.25">
      <c r="A895" s="2" t="s">
        <v>2696</v>
      </c>
      <c r="B895" s="2" t="s">
        <v>2697</v>
      </c>
      <c r="C895" s="2" t="s">
        <v>2698</v>
      </c>
      <c r="D895" s="2" t="s">
        <v>1868</v>
      </c>
      <c r="E895" s="3">
        <v>42637</v>
      </c>
      <c r="F895">
        <f t="shared" si="26"/>
        <v>9</v>
      </c>
      <c r="G895">
        <f t="shared" si="27"/>
        <v>2016</v>
      </c>
    </row>
    <row r="896" spans="1:7" x14ac:dyDescent="0.25">
      <c r="A896" s="2" t="s">
        <v>362</v>
      </c>
      <c r="B896" s="2" t="s">
        <v>2699</v>
      </c>
      <c r="C896" s="2" t="s">
        <v>387</v>
      </c>
      <c r="D896" s="2" t="s">
        <v>2700</v>
      </c>
      <c r="E896" s="3">
        <v>42635</v>
      </c>
      <c r="F896">
        <f t="shared" si="26"/>
        <v>9</v>
      </c>
      <c r="G896">
        <f t="shared" si="27"/>
        <v>2016</v>
      </c>
    </row>
    <row r="897" spans="1:7" ht="24" x14ac:dyDescent="0.25">
      <c r="A897" s="2" t="s">
        <v>2701</v>
      </c>
      <c r="B897" s="2" t="s">
        <v>424</v>
      </c>
      <c r="C897" s="2" t="s">
        <v>2702</v>
      </c>
      <c r="D897" s="2" t="s">
        <v>502</v>
      </c>
      <c r="E897" s="3">
        <v>42632</v>
      </c>
      <c r="F897">
        <f t="shared" si="26"/>
        <v>9</v>
      </c>
      <c r="G897">
        <f t="shared" si="27"/>
        <v>2016</v>
      </c>
    </row>
    <row r="898" spans="1:7" x14ac:dyDescent="0.25">
      <c r="A898" s="2" t="s">
        <v>333</v>
      </c>
      <c r="B898" s="2" t="s">
        <v>68</v>
      </c>
      <c r="C898" s="2" t="s">
        <v>2703</v>
      </c>
      <c r="D898" s="2" t="s">
        <v>1529</v>
      </c>
      <c r="E898" s="3">
        <v>42627</v>
      </c>
      <c r="F898">
        <f t="shared" si="26"/>
        <v>9</v>
      </c>
      <c r="G898">
        <f t="shared" si="27"/>
        <v>2016</v>
      </c>
    </row>
    <row r="899" spans="1:7" ht="24" x14ac:dyDescent="0.25">
      <c r="A899" s="2" t="s">
        <v>1185</v>
      </c>
      <c r="B899" s="2" t="s">
        <v>2704</v>
      </c>
      <c r="C899" s="2" t="s">
        <v>2705</v>
      </c>
      <c r="D899" s="2" t="s">
        <v>2706</v>
      </c>
      <c r="E899" s="3">
        <v>42626</v>
      </c>
      <c r="F899">
        <f t="shared" ref="F899:F962" si="28">MONTH(E899)</f>
        <v>9</v>
      </c>
      <c r="G899">
        <f t="shared" ref="G899:G962" si="29">YEAR(E899)</f>
        <v>2016</v>
      </c>
    </row>
    <row r="900" spans="1:7" ht="24" x14ac:dyDescent="0.25">
      <c r="A900" s="2" t="s">
        <v>2707</v>
      </c>
      <c r="B900" s="2" t="s">
        <v>2708</v>
      </c>
      <c r="C900" s="2" t="s">
        <v>490</v>
      </c>
      <c r="D900" s="2" t="s">
        <v>957</v>
      </c>
      <c r="E900" s="3">
        <v>42620</v>
      </c>
      <c r="F900">
        <f t="shared" si="28"/>
        <v>9</v>
      </c>
      <c r="G900">
        <f t="shared" si="29"/>
        <v>2016</v>
      </c>
    </row>
    <row r="901" spans="1:7" x14ac:dyDescent="0.25">
      <c r="A901" s="2" t="s">
        <v>2709</v>
      </c>
      <c r="B901" s="2" t="s">
        <v>942</v>
      </c>
      <c r="C901" s="2" t="s">
        <v>140</v>
      </c>
      <c r="D901" s="2" t="s">
        <v>2554</v>
      </c>
      <c r="E901" s="3">
        <v>42613</v>
      </c>
      <c r="F901">
        <f t="shared" si="28"/>
        <v>8</v>
      </c>
      <c r="G901">
        <f t="shared" si="29"/>
        <v>2016</v>
      </c>
    </row>
    <row r="902" spans="1:7" x14ac:dyDescent="0.25">
      <c r="A902" s="2" t="s">
        <v>52</v>
      </c>
      <c r="B902" s="2" t="s">
        <v>2710</v>
      </c>
      <c r="C902" s="2" t="s">
        <v>2251</v>
      </c>
      <c r="D902" s="2" t="s">
        <v>2711</v>
      </c>
      <c r="E902" s="3">
        <v>42613</v>
      </c>
      <c r="F902">
        <f t="shared" si="28"/>
        <v>8</v>
      </c>
      <c r="G902">
        <f t="shared" si="29"/>
        <v>2016</v>
      </c>
    </row>
    <row r="903" spans="1:7" x14ac:dyDescent="0.25">
      <c r="A903" s="2" t="s">
        <v>2712</v>
      </c>
      <c r="B903" s="2" t="s">
        <v>2713</v>
      </c>
      <c r="C903" s="2" t="s">
        <v>57</v>
      </c>
      <c r="D903" s="2" t="s">
        <v>2714</v>
      </c>
      <c r="E903" s="3">
        <v>42613</v>
      </c>
      <c r="F903">
        <f t="shared" si="28"/>
        <v>8</v>
      </c>
      <c r="G903">
        <f t="shared" si="29"/>
        <v>2016</v>
      </c>
    </row>
    <row r="904" spans="1:7" x14ac:dyDescent="0.25">
      <c r="A904" s="2" t="s">
        <v>2715</v>
      </c>
      <c r="B904" s="2" t="s">
        <v>2716</v>
      </c>
      <c r="C904" s="2" t="s">
        <v>2717</v>
      </c>
      <c r="D904" s="2" t="s">
        <v>1672</v>
      </c>
      <c r="E904" s="3">
        <v>42613</v>
      </c>
      <c r="F904">
        <f t="shared" si="28"/>
        <v>8</v>
      </c>
      <c r="G904">
        <f t="shared" si="29"/>
        <v>2016</v>
      </c>
    </row>
    <row r="905" spans="1:7" x14ac:dyDescent="0.25">
      <c r="A905" s="2" t="s">
        <v>2718</v>
      </c>
      <c r="B905" s="2" t="s">
        <v>2719</v>
      </c>
      <c r="C905" s="2" t="s">
        <v>42</v>
      </c>
      <c r="D905" s="2" t="s">
        <v>2720</v>
      </c>
      <c r="E905" s="3">
        <v>42612</v>
      </c>
      <c r="F905">
        <f t="shared" si="28"/>
        <v>8</v>
      </c>
      <c r="G905">
        <f t="shared" si="29"/>
        <v>2016</v>
      </c>
    </row>
    <row r="906" spans="1:7" x14ac:dyDescent="0.25">
      <c r="A906" s="2" t="s">
        <v>362</v>
      </c>
      <c r="B906" s="2" t="s">
        <v>2721</v>
      </c>
      <c r="C906" s="2" t="s">
        <v>2722</v>
      </c>
      <c r="D906" s="2" t="s">
        <v>2723</v>
      </c>
      <c r="E906" s="3">
        <v>42612</v>
      </c>
      <c r="F906">
        <f t="shared" si="28"/>
        <v>8</v>
      </c>
      <c r="G906">
        <f t="shared" si="29"/>
        <v>2016</v>
      </c>
    </row>
    <row r="907" spans="1:7" x14ac:dyDescent="0.25">
      <c r="A907" s="2" t="s">
        <v>2497</v>
      </c>
      <c r="B907" s="2" t="s">
        <v>2724</v>
      </c>
      <c r="C907" s="2" t="s">
        <v>65</v>
      </c>
      <c r="D907" s="2" t="s">
        <v>365</v>
      </c>
      <c r="E907" s="3">
        <v>42586</v>
      </c>
      <c r="F907">
        <f t="shared" si="28"/>
        <v>8</v>
      </c>
      <c r="G907">
        <f t="shared" si="29"/>
        <v>2016</v>
      </c>
    </row>
    <row r="908" spans="1:7" x14ac:dyDescent="0.25">
      <c r="A908" s="2" t="s">
        <v>2725</v>
      </c>
      <c r="B908" s="2" t="s">
        <v>2726</v>
      </c>
      <c r="C908" s="2" t="s">
        <v>140</v>
      </c>
      <c r="D908" s="2" t="s">
        <v>957</v>
      </c>
      <c r="E908" s="3">
        <v>42577</v>
      </c>
      <c r="F908">
        <f t="shared" si="28"/>
        <v>7</v>
      </c>
      <c r="G908">
        <f t="shared" si="29"/>
        <v>2016</v>
      </c>
    </row>
    <row r="909" spans="1:7" x14ac:dyDescent="0.25">
      <c r="A909" s="2" t="s">
        <v>2727</v>
      </c>
      <c r="B909" s="2" t="s">
        <v>2728</v>
      </c>
      <c r="C909" s="2" t="s">
        <v>140</v>
      </c>
      <c r="D909" s="2" t="s">
        <v>365</v>
      </c>
      <c r="E909" s="3">
        <v>42577</v>
      </c>
      <c r="F909">
        <f t="shared" si="28"/>
        <v>7</v>
      </c>
      <c r="G909">
        <f t="shared" si="29"/>
        <v>2016</v>
      </c>
    </row>
    <row r="910" spans="1:7" x14ac:dyDescent="0.25">
      <c r="A910" s="2" t="s">
        <v>2729</v>
      </c>
      <c r="B910" s="2" t="s">
        <v>2730</v>
      </c>
      <c r="C910" s="2" t="s">
        <v>140</v>
      </c>
      <c r="D910" s="2" t="s">
        <v>2731</v>
      </c>
      <c r="E910" s="3">
        <v>42576</v>
      </c>
      <c r="F910">
        <f t="shared" si="28"/>
        <v>7</v>
      </c>
      <c r="G910">
        <f t="shared" si="29"/>
        <v>2016</v>
      </c>
    </row>
    <row r="911" spans="1:7" ht="24" x14ac:dyDescent="0.25">
      <c r="A911" s="2" t="s">
        <v>2732</v>
      </c>
      <c r="B911" s="2" t="s">
        <v>2733</v>
      </c>
      <c r="C911" s="2" t="s">
        <v>2734</v>
      </c>
      <c r="D911" s="2" t="s">
        <v>2735</v>
      </c>
      <c r="E911" s="3">
        <v>42572</v>
      </c>
      <c r="F911">
        <f t="shared" si="28"/>
        <v>7</v>
      </c>
      <c r="G911">
        <f t="shared" si="29"/>
        <v>2016</v>
      </c>
    </row>
    <row r="912" spans="1:7" x14ac:dyDescent="0.25">
      <c r="A912" s="2" t="s">
        <v>2736</v>
      </c>
      <c r="B912" s="2" t="s">
        <v>2737</v>
      </c>
      <c r="C912" s="2" t="s">
        <v>117</v>
      </c>
      <c r="D912" s="2" t="s">
        <v>2042</v>
      </c>
      <c r="E912" s="3">
        <v>42571</v>
      </c>
      <c r="F912">
        <f t="shared" si="28"/>
        <v>7</v>
      </c>
      <c r="G912">
        <f t="shared" si="29"/>
        <v>2016</v>
      </c>
    </row>
    <row r="913" spans="1:7" x14ac:dyDescent="0.25">
      <c r="A913" s="2" t="s">
        <v>2738</v>
      </c>
      <c r="B913" s="2" t="s">
        <v>2739</v>
      </c>
      <c r="C913" s="2" t="s">
        <v>11</v>
      </c>
      <c r="D913" s="2" t="s">
        <v>2740</v>
      </c>
      <c r="E913" s="3">
        <v>42569</v>
      </c>
      <c r="F913">
        <f t="shared" si="28"/>
        <v>7</v>
      </c>
      <c r="G913">
        <f t="shared" si="29"/>
        <v>2016</v>
      </c>
    </row>
    <row r="914" spans="1:7" x14ac:dyDescent="0.25">
      <c r="A914" s="2" t="s">
        <v>2741</v>
      </c>
      <c r="B914" s="2" t="s">
        <v>2742</v>
      </c>
      <c r="C914" s="2" t="s">
        <v>2743</v>
      </c>
      <c r="D914" s="2" t="s">
        <v>2744</v>
      </c>
      <c r="E914" s="3">
        <v>42560</v>
      </c>
      <c r="F914">
        <f t="shared" si="28"/>
        <v>7</v>
      </c>
      <c r="G914">
        <f t="shared" si="29"/>
        <v>2016</v>
      </c>
    </row>
    <row r="915" spans="1:7" x14ac:dyDescent="0.25">
      <c r="A915" s="2" t="s">
        <v>946</v>
      </c>
      <c r="B915" s="2" t="s">
        <v>2745</v>
      </c>
      <c r="C915" s="2" t="s">
        <v>2746</v>
      </c>
      <c r="D915" s="2" t="s">
        <v>2747</v>
      </c>
      <c r="E915" s="3">
        <v>42558</v>
      </c>
      <c r="F915">
        <f t="shared" si="28"/>
        <v>7</v>
      </c>
      <c r="G915">
        <f t="shared" si="29"/>
        <v>2016</v>
      </c>
    </row>
    <row r="916" spans="1:7" x14ac:dyDescent="0.25">
      <c r="A916" s="2" t="s">
        <v>2748</v>
      </c>
      <c r="B916" s="2" t="s">
        <v>2749</v>
      </c>
      <c r="C916" s="2" t="s">
        <v>2750</v>
      </c>
      <c r="D916" s="2" t="s">
        <v>2751</v>
      </c>
      <c r="E916" s="3">
        <v>42555</v>
      </c>
      <c r="F916">
        <f t="shared" si="28"/>
        <v>7</v>
      </c>
      <c r="G916">
        <f t="shared" si="29"/>
        <v>2016</v>
      </c>
    </row>
    <row r="917" spans="1:7" ht="24" x14ac:dyDescent="0.25">
      <c r="A917" s="2" t="s">
        <v>2752</v>
      </c>
      <c r="B917" s="2" t="s">
        <v>2753</v>
      </c>
      <c r="C917" s="2" t="s">
        <v>2754</v>
      </c>
      <c r="D917" s="2" t="s">
        <v>2755</v>
      </c>
      <c r="E917" s="3">
        <v>42555</v>
      </c>
      <c r="F917">
        <f t="shared" si="28"/>
        <v>7</v>
      </c>
      <c r="G917">
        <f t="shared" si="29"/>
        <v>2016</v>
      </c>
    </row>
    <row r="918" spans="1:7" x14ac:dyDescent="0.25">
      <c r="A918" s="2" t="s">
        <v>2756</v>
      </c>
      <c r="B918" s="2" t="s">
        <v>2757</v>
      </c>
      <c r="C918" s="2" t="s">
        <v>11</v>
      </c>
      <c r="D918" s="2" t="s">
        <v>2758</v>
      </c>
      <c r="E918" s="3">
        <v>42530</v>
      </c>
      <c r="F918">
        <f t="shared" si="28"/>
        <v>6</v>
      </c>
      <c r="G918">
        <f t="shared" si="29"/>
        <v>2016</v>
      </c>
    </row>
    <row r="919" spans="1:7" x14ac:dyDescent="0.25">
      <c r="A919" s="2" t="s">
        <v>158</v>
      </c>
      <c r="B919" s="2" t="s">
        <v>2759</v>
      </c>
      <c r="C919" s="2" t="s">
        <v>140</v>
      </c>
      <c r="D919" s="2" t="s">
        <v>2760</v>
      </c>
      <c r="E919" s="3">
        <v>42529</v>
      </c>
      <c r="F919">
        <f t="shared" si="28"/>
        <v>6</v>
      </c>
      <c r="G919">
        <f t="shared" si="29"/>
        <v>2016</v>
      </c>
    </row>
    <row r="920" spans="1:7" x14ac:dyDescent="0.25">
      <c r="A920" s="2" t="s">
        <v>2761</v>
      </c>
      <c r="B920" s="2" t="s">
        <v>2762</v>
      </c>
      <c r="C920" s="2" t="s">
        <v>2763</v>
      </c>
      <c r="D920" s="2" t="s">
        <v>2764</v>
      </c>
      <c r="E920" s="3">
        <v>42529</v>
      </c>
      <c r="F920">
        <f t="shared" si="28"/>
        <v>6</v>
      </c>
      <c r="G920">
        <f t="shared" si="29"/>
        <v>2016</v>
      </c>
    </row>
    <row r="921" spans="1:7" x14ac:dyDescent="0.25">
      <c r="A921" s="2" t="s">
        <v>1485</v>
      </c>
      <c r="B921" s="2" t="s">
        <v>2765</v>
      </c>
      <c r="C921" s="2" t="s">
        <v>2766</v>
      </c>
      <c r="D921" s="2" t="s">
        <v>1263</v>
      </c>
      <c r="E921" s="3">
        <v>42529</v>
      </c>
      <c r="F921">
        <f t="shared" si="28"/>
        <v>6</v>
      </c>
      <c r="G921">
        <f t="shared" si="29"/>
        <v>2016</v>
      </c>
    </row>
    <row r="922" spans="1:7" x14ac:dyDescent="0.25">
      <c r="A922" s="2" t="s">
        <v>2767</v>
      </c>
      <c r="B922" s="2" t="s">
        <v>2768</v>
      </c>
      <c r="C922" s="2" t="s">
        <v>251</v>
      </c>
      <c r="D922" s="2" t="s">
        <v>2769</v>
      </c>
      <c r="E922" s="3">
        <v>42524</v>
      </c>
      <c r="F922">
        <f t="shared" si="28"/>
        <v>6</v>
      </c>
      <c r="G922">
        <f t="shared" si="29"/>
        <v>2016</v>
      </c>
    </row>
    <row r="923" spans="1:7" x14ac:dyDescent="0.25">
      <c r="A923" s="2" t="s">
        <v>2770</v>
      </c>
      <c r="B923" s="2" t="s">
        <v>2771</v>
      </c>
      <c r="C923" s="2" t="s">
        <v>2772</v>
      </c>
      <c r="D923" s="2" t="s">
        <v>2773</v>
      </c>
      <c r="E923" s="3">
        <v>42524</v>
      </c>
      <c r="F923">
        <f t="shared" si="28"/>
        <v>6</v>
      </c>
      <c r="G923">
        <f t="shared" si="29"/>
        <v>2016</v>
      </c>
    </row>
    <row r="924" spans="1:7" x14ac:dyDescent="0.25">
      <c r="A924" s="2" t="s">
        <v>544</v>
      </c>
      <c r="B924" s="2" t="s">
        <v>2774</v>
      </c>
      <c r="C924" s="2" t="s">
        <v>501</v>
      </c>
      <c r="D924" s="2" t="s">
        <v>740</v>
      </c>
      <c r="E924" s="3">
        <v>42522</v>
      </c>
      <c r="F924">
        <f t="shared" si="28"/>
        <v>6</v>
      </c>
      <c r="G924">
        <f t="shared" si="29"/>
        <v>2016</v>
      </c>
    </row>
    <row r="925" spans="1:7" x14ac:dyDescent="0.25">
      <c r="A925" s="2" t="s">
        <v>2775</v>
      </c>
      <c r="B925" s="2" t="s">
        <v>68</v>
      </c>
      <c r="C925" s="2" t="s">
        <v>42</v>
      </c>
      <c r="D925" s="2" t="s">
        <v>2554</v>
      </c>
      <c r="E925" s="3">
        <v>42521</v>
      </c>
      <c r="F925">
        <f t="shared" si="28"/>
        <v>5</v>
      </c>
      <c r="G925">
        <f t="shared" si="29"/>
        <v>2016</v>
      </c>
    </row>
    <row r="926" spans="1:7" ht="24" x14ac:dyDescent="0.25">
      <c r="A926" s="2" t="s">
        <v>403</v>
      </c>
      <c r="B926" s="2" t="s">
        <v>2776</v>
      </c>
      <c r="C926" s="2" t="s">
        <v>998</v>
      </c>
      <c r="D926" s="2" t="s">
        <v>2777</v>
      </c>
      <c r="E926" s="3">
        <v>42519</v>
      </c>
      <c r="F926">
        <f t="shared" si="28"/>
        <v>5</v>
      </c>
      <c r="G926">
        <f t="shared" si="29"/>
        <v>2016</v>
      </c>
    </row>
    <row r="927" spans="1:7" x14ac:dyDescent="0.25">
      <c r="A927" s="2" t="s">
        <v>2778</v>
      </c>
      <c r="B927" s="2" t="s">
        <v>1003</v>
      </c>
      <c r="C927" s="2" t="s">
        <v>2779</v>
      </c>
      <c r="D927" s="2" t="s">
        <v>2780</v>
      </c>
      <c r="E927" s="3">
        <v>42516</v>
      </c>
      <c r="F927">
        <f t="shared" si="28"/>
        <v>5</v>
      </c>
      <c r="G927">
        <f t="shared" si="29"/>
        <v>2016</v>
      </c>
    </row>
    <row r="928" spans="1:7" x14ac:dyDescent="0.25">
      <c r="A928" s="2" t="s">
        <v>2781</v>
      </c>
      <c r="B928" s="2" t="s">
        <v>2782</v>
      </c>
      <c r="C928" s="2" t="s">
        <v>2783</v>
      </c>
      <c r="D928" s="2" t="s">
        <v>2784</v>
      </c>
      <c r="E928" s="3">
        <v>42516</v>
      </c>
      <c r="F928">
        <f t="shared" si="28"/>
        <v>5</v>
      </c>
      <c r="G928">
        <f t="shared" si="29"/>
        <v>2016</v>
      </c>
    </row>
    <row r="929" spans="1:7" x14ac:dyDescent="0.25">
      <c r="A929" s="2" t="s">
        <v>573</v>
      </c>
      <c r="B929" s="2" t="s">
        <v>2785</v>
      </c>
      <c r="C929" s="2" t="s">
        <v>837</v>
      </c>
      <c r="D929" s="2" t="s">
        <v>2786</v>
      </c>
      <c r="E929" s="3">
        <v>42514</v>
      </c>
      <c r="F929">
        <f t="shared" si="28"/>
        <v>5</v>
      </c>
      <c r="G929">
        <f t="shared" si="29"/>
        <v>2016</v>
      </c>
    </row>
    <row r="930" spans="1:7" x14ac:dyDescent="0.25">
      <c r="A930" s="2" t="s">
        <v>2787</v>
      </c>
      <c r="B930" s="2" t="s">
        <v>2788</v>
      </c>
      <c r="C930" s="2" t="s">
        <v>27</v>
      </c>
      <c r="D930" s="2" t="s">
        <v>357</v>
      </c>
      <c r="E930" s="3">
        <v>42511</v>
      </c>
      <c r="F930">
        <f t="shared" si="28"/>
        <v>5</v>
      </c>
      <c r="G930">
        <f t="shared" si="29"/>
        <v>2016</v>
      </c>
    </row>
    <row r="931" spans="1:7" x14ac:dyDescent="0.25">
      <c r="A931" s="2" t="s">
        <v>1290</v>
      </c>
      <c r="B931" s="2" t="s">
        <v>2789</v>
      </c>
      <c r="C931" s="2" t="s">
        <v>2221</v>
      </c>
      <c r="D931" s="2" t="s">
        <v>2790</v>
      </c>
      <c r="E931" s="3">
        <v>42502</v>
      </c>
      <c r="F931">
        <f t="shared" si="28"/>
        <v>5</v>
      </c>
      <c r="G931">
        <f t="shared" si="29"/>
        <v>2016</v>
      </c>
    </row>
    <row r="932" spans="1:7" ht="24" x14ac:dyDescent="0.25">
      <c r="A932" s="2" t="s">
        <v>2375</v>
      </c>
      <c r="B932" s="2" t="s">
        <v>2791</v>
      </c>
      <c r="C932" s="2" t="s">
        <v>2792</v>
      </c>
      <c r="D932" s="2" t="s">
        <v>2793</v>
      </c>
      <c r="E932" s="3">
        <v>42495</v>
      </c>
      <c r="F932">
        <f t="shared" si="28"/>
        <v>5</v>
      </c>
      <c r="G932">
        <f t="shared" si="29"/>
        <v>2016</v>
      </c>
    </row>
    <row r="933" spans="1:7" ht="36" x14ac:dyDescent="0.25">
      <c r="A933" s="2" t="s">
        <v>2794</v>
      </c>
      <c r="B933" s="2" t="s">
        <v>2795</v>
      </c>
      <c r="C933" s="2" t="s">
        <v>2796</v>
      </c>
      <c r="D933" s="2" t="s">
        <v>2797</v>
      </c>
      <c r="E933" s="3">
        <v>42494</v>
      </c>
      <c r="F933">
        <f t="shared" si="28"/>
        <v>5</v>
      </c>
      <c r="G933">
        <f t="shared" si="29"/>
        <v>2016</v>
      </c>
    </row>
    <row r="934" spans="1:7" x14ac:dyDescent="0.25">
      <c r="A934" s="2" t="s">
        <v>2798</v>
      </c>
      <c r="B934" s="2" t="s">
        <v>232</v>
      </c>
      <c r="C934" s="2" t="s">
        <v>2799</v>
      </c>
      <c r="D934" s="2" t="s">
        <v>2711</v>
      </c>
      <c r="E934" s="3">
        <v>42493</v>
      </c>
      <c r="F934">
        <f t="shared" si="28"/>
        <v>5</v>
      </c>
      <c r="G934">
        <f t="shared" si="29"/>
        <v>2016</v>
      </c>
    </row>
    <row r="935" spans="1:7" x14ac:dyDescent="0.25">
      <c r="A935" s="2" t="s">
        <v>2800</v>
      </c>
      <c r="B935" s="2" t="s">
        <v>2801</v>
      </c>
      <c r="C935" s="2" t="s">
        <v>2802</v>
      </c>
      <c r="D935" s="2" t="s">
        <v>2439</v>
      </c>
      <c r="E935" s="3">
        <v>42493</v>
      </c>
      <c r="F935">
        <f t="shared" si="28"/>
        <v>5</v>
      </c>
      <c r="G935">
        <f t="shared" si="29"/>
        <v>2016</v>
      </c>
    </row>
    <row r="936" spans="1:7" x14ac:dyDescent="0.25">
      <c r="A936" s="2" t="s">
        <v>2803</v>
      </c>
      <c r="B936" s="2" t="s">
        <v>2804</v>
      </c>
      <c r="C936" s="2" t="s">
        <v>140</v>
      </c>
      <c r="D936" s="2" t="s">
        <v>365</v>
      </c>
      <c r="E936" s="3">
        <v>42492</v>
      </c>
      <c r="F936">
        <f t="shared" si="28"/>
        <v>5</v>
      </c>
      <c r="G936">
        <f t="shared" si="29"/>
        <v>2016</v>
      </c>
    </row>
    <row r="937" spans="1:7" ht="24" x14ac:dyDescent="0.25">
      <c r="A937" s="2" t="s">
        <v>1740</v>
      </c>
      <c r="B937" s="2" t="s">
        <v>2805</v>
      </c>
      <c r="C937" s="2" t="s">
        <v>833</v>
      </c>
      <c r="D937" s="2" t="s">
        <v>2806</v>
      </c>
      <c r="E937" s="3">
        <v>42488</v>
      </c>
      <c r="F937">
        <f t="shared" si="28"/>
        <v>4</v>
      </c>
      <c r="G937">
        <f t="shared" si="29"/>
        <v>2016</v>
      </c>
    </row>
    <row r="938" spans="1:7" ht="24" x14ac:dyDescent="0.25">
      <c r="A938" s="2" t="s">
        <v>2807</v>
      </c>
      <c r="B938" s="2" t="s">
        <v>2808</v>
      </c>
      <c r="C938" s="2" t="s">
        <v>837</v>
      </c>
      <c r="D938" s="2" t="s">
        <v>2809</v>
      </c>
      <c r="E938" s="3">
        <v>42487</v>
      </c>
      <c r="F938">
        <f t="shared" si="28"/>
        <v>4</v>
      </c>
      <c r="G938">
        <f t="shared" si="29"/>
        <v>2016</v>
      </c>
    </row>
    <row r="939" spans="1:7" x14ac:dyDescent="0.25">
      <c r="A939" s="2" t="s">
        <v>2810</v>
      </c>
      <c r="B939" s="2" t="s">
        <v>2811</v>
      </c>
      <c r="C939" s="2" t="s">
        <v>2812</v>
      </c>
      <c r="D939" s="2" t="s">
        <v>2813</v>
      </c>
      <c r="E939" s="3">
        <v>42486</v>
      </c>
      <c r="F939">
        <f t="shared" si="28"/>
        <v>4</v>
      </c>
      <c r="G939">
        <f t="shared" si="29"/>
        <v>2016</v>
      </c>
    </row>
    <row r="940" spans="1:7" x14ac:dyDescent="0.25">
      <c r="A940" s="2" t="s">
        <v>2814</v>
      </c>
      <c r="B940" s="2" t="s">
        <v>2815</v>
      </c>
      <c r="C940" s="2" t="s">
        <v>2816</v>
      </c>
      <c r="D940" s="2" t="s">
        <v>2817</v>
      </c>
      <c r="E940" s="3">
        <v>42484</v>
      </c>
      <c r="F940">
        <f t="shared" si="28"/>
        <v>4</v>
      </c>
      <c r="G940">
        <f t="shared" si="29"/>
        <v>2016</v>
      </c>
    </row>
    <row r="941" spans="1:7" x14ac:dyDescent="0.25">
      <c r="A941" s="2" t="s">
        <v>2818</v>
      </c>
      <c r="B941" s="2" t="s">
        <v>2819</v>
      </c>
      <c r="C941" s="2" t="s">
        <v>42</v>
      </c>
      <c r="D941" s="2" t="s">
        <v>670</v>
      </c>
      <c r="E941" s="3">
        <v>42481</v>
      </c>
      <c r="F941">
        <f t="shared" si="28"/>
        <v>4</v>
      </c>
      <c r="G941">
        <f t="shared" si="29"/>
        <v>2016</v>
      </c>
    </row>
    <row r="942" spans="1:7" x14ac:dyDescent="0.25">
      <c r="A942" s="2" t="s">
        <v>2820</v>
      </c>
      <c r="B942" s="2" t="s">
        <v>2821</v>
      </c>
      <c r="C942" s="2" t="s">
        <v>2822</v>
      </c>
      <c r="D942" s="2" t="s">
        <v>2823</v>
      </c>
      <c r="E942" s="3">
        <v>42471</v>
      </c>
      <c r="F942">
        <f t="shared" si="28"/>
        <v>4</v>
      </c>
      <c r="G942">
        <f t="shared" si="29"/>
        <v>2016</v>
      </c>
    </row>
    <row r="943" spans="1:7" x14ac:dyDescent="0.25">
      <c r="A943" s="2" t="s">
        <v>326</v>
      </c>
      <c r="B943" s="2" t="s">
        <v>2824</v>
      </c>
      <c r="C943" s="2" t="s">
        <v>2825</v>
      </c>
      <c r="D943" s="2" t="s">
        <v>2826</v>
      </c>
      <c r="E943" s="3">
        <v>42471</v>
      </c>
      <c r="F943">
        <f t="shared" si="28"/>
        <v>4</v>
      </c>
      <c r="G943">
        <f t="shared" si="29"/>
        <v>2016</v>
      </c>
    </row>
    <row r="944" spans="1:7" x14ac:dyDescent="0.25">
      <c r="A944" s="2" t="s">
        <v>249</v>
      </c>
      <c r="B944" s="2" t="s">
        <v>2827</v>
      </c>
      <c r="C944" s="2" t="s">
        <v>965</v>
      </c>
      <c r="D944" s="2" t="s">
        <v>2828</v>
      </c>
      <c r="E944" s="3">
        <v>42465</v>
      </c>
      <c r="F944">
        <f t="shared" si="28"/>
        <v>4</v>
      </c>
      <c r="G944">
        <f t="shared" si="29"/>
        <v>2016</v>
      </c>
    </row>
    <row r="945" spans="1:7" x14ac:dyDescent="0.25">
      <c r="A945" s="2" t="s">
        <v>1572</v>
      </c>
      <c r="B945" s="2" t="s">
        <v>2829</v>
      </c>
      <c r="C945" s="2" t="s">
        <v>2830</v>
      </c>
      <c r="D945" s="2" t="s">
        <v>2831</v>
      </c>
      <c r="E945" s="3">
        <v>42465</v>
      </c>
      <c r="F945">
        <f t="shared" si="28"/>
        <v>4</v>
      </c>
      <c r="G945">
        <f t="shared" si="29"/>
        <v>2016</v>
      </c>
    </row>
    <row r="946" spans="1:7" ht="24" x14ac:dyDescent="0.25">
      <c r="A946" s="2" t="s">
        <v>396</v>
      </c>
      <c r="B946" s="2" t="s">
        <v>151</v>
      </c>
      <c r="C946" s="2" t="s">
        <v>174</v>
      </c>
      <c r="D946" s="2" t="s">
        <v>2832</v>
      </c>
      <c r="E946" s="3">
        <v>42456</v>
      </c>
      <c r="F946">
        <f t="shared" si="28"/>
        <v>3</v>
      </c>
      <c r="G946">
        <f t="shared" si="29"/>
        <v>2016</v>
      </c>
    </row>
    <row r="947" spans="1:7" x14ac:dyDescent="0.25">
      <c r="A947" s="2" t="s">
        <v>2778</v>
      </c>
      <c r="B947" s="2" t="s">
        <v>424</v>
      </c>
      <c r="C947" s="2" t="s">
        <v>23</v>
      </c>
      <c r="D947" s="2" t="s">
        <v>2833</v>
      </c>
      <c r="E947" s="3">
        <v>42452</v>
      </c>
      <c r="F947">
        <f t="shared" si="28"/>
        <v>3</v>
      </c>
      <c r="G947">
        <f t="shared" si="29"/>
        <v>2016</v>
      </c>
    </row>
    <row r="948" spans="1:7" x14ac:dyDescent="0.25">
      <c r="A948" s="2" t="s">
        <v>1907</v>
      </c>
      <c r="B948" s="2" t="s">
        <v>2834</v>
      </c>
      <c r="C948" s="2" t="s">
        <v>42</v>
      </c>
      <c r="D948" s="2" t="s">
        <v>2835</v>
      </c>
      <c r="E948" s="3">
        <v>42447</v>
      </c>
      <c r="F948">
        <f t="shared" si="28"/>
        <v>3</v>
      </c>
      <c r="G948">
        <f t="shared" si="29"/>
        <v>2016</v>
      </c>
    </row>
    <row r="949" spans="1:7" x14ac:dyDescent="0.25">
      <c r="A949" s="2" t="s">
        <v>772</v>
      </c>
      <c r="B949" s="2" t="s">
        <v>2836</v>
      </c>
      <c r="C949" s="2" t="s">
        <v>42</v>
      </c>
      <c r="D949" s="2" t="s">
        <v>2837</v>
      </c>
      <c r="E949" s="3">
        <v>42446</v>
      </c>
      <c r="F949">
        <f t="shared" si="28"/>
        <v>3</v>
      </c>
      <c r="G949">
        <f t="shared" si="29"/>
        <v>2016</v>
      </c>
    </row>
    <row r="950" spans="1:7" x14ac:dyDescent="0.25">
      <c r="A950" s="2" t="s">
        <v>2838</v>
      </c>
      <c r="B950" s="2" t="s">
        <v>2839</v>
      </c>
      <c r="C950" s="2" t="s">
        <v>42</v>
      </c>
      <c r="D950" s="2" t="s">
        <v>2840</v>
      </c>
      <c r="E950" s="3">
        <v>42446</v>
      </c>
      <c r="F950">
        <f t="shared" si="28"/>
        <v>3</v>
      </c>
      <c r="G950">
        <f t="shared" si="29"/>
        <v>2016</v>
      </c>
    </row>
    <row r="951" spans="1:7" ht="24" x14ac:dyDescent="0.25">
      <c r="A951" s="2" t="s">
        <v>1580</v>
      </c>
      <c r="B951" s="2" t="s">
        <v>2841</v>
      </c>
      <c r="C951" s="2" t="s">
        <v>57</v>
      </c>
      <c r="D951" s="2" t="s">
        <v>2842</v>
      </c>
      <c r="E951" s="3">
        <v>42443</v>
      </c>
      <c r="F951">
        <f t="shared" si="28"/>
        <v>3</v>
      </c>
      <c r="G951">
        <f t="shared" si="29"/>
        <v>2016</v>
      </c>
    </row>
    <row r="952" spans="1:7" x14ac:dyDescent="0.25">
      <c r="A952" s="2" t="s">
        <v>973</v>
      </c>
      <c r="B952" s="2" t="s">
        <v>2843</v>
      </c>
      <c r="C952" s="2" t="s">
        <v>2844</v>
      </c>
      <c r="D952" s="2" t="s">
        <v>2845</v>
      </c>
      <c r="E952" s="3">
        <v>42440</v>
      </c>
      <c r="F952">
        <f t="shared" si="28"/>
        <v>3</v>
      </c>
      <c r="G952">
        <f t="shared" si="29"/>
        <v>2016</v>
      </c>
    </row>
    <row r="953" spans="1:7" ht="24" x14ac:dyDescent="0.25">
      <c r="A953" s="2" t="s">
        <v>2846</v>
      </c>
      <c r="B953" s="2" t="s">
        <v>2139</v>
      </c>
      <c r="C953" s="2" t="s">
        <v>2633</v>
      </c>
      <c r="D953" s="2" t="s">
        <v>2439</v>
      </c>
      <c r="E953" s="3">
        <v>42439</v>
      </c>
      <c r="F953">
        <f t="shared" si="28"/>
        <v>3</v>
      </c>
      <c r="G953">
        <f t="shared" si="29"/>
        <v>2016</v>
      </c>
    </row>
    <row r="954" spans="1:7" x14ac:dyDescent="0.25">
      <c r="A954" s="2" t="s">
        <v>1024</v>
      </c>
      <c r="B954" s="2" t="s">
        <v>1771</v>
      </c>
      <c r="C954" s="2" t="s">
        <v>42</v>
      </c>
      <c r="D954" s="2" t="s">
        <v>2847</v>
      </c>
      <c r="E954" s="3">
        <v>42438</v>
      </c>
      <c r="F954">
        <f t="shared" si="28"/>
        <v>3</v>
      </c>
      <c r="G954">
        <f t="shared" si="29"/>
        <v>2016</v>
      </c>
    </row>
    <row r="955" spans="1:7" x14ac:dyDescent="0.25">
      <c r="A955" s="2" t="s">
        <v>205</v>
      </c>
      <c r="B955" s="2" t="s">
        <v>1338</v>
      </c>
      <c r="C955" s="2" t="s">
        <v>2848</v>
      </c>
      <c r="D955" s="2" t="s">
        <v>2849</v>
      </c>
      <c r="E955" s="3">
        <v>42436</v>
      </c>
      <c r="F955">
        <f t="shared" si="28"/>
        <v>3</v>
      </c>
      <c r="G955">
        <f t="shared" si="29"/>
        <v>2016</v>
      </c>
    </row>
    <row r="956" spans="1:7" x14ac:dyDescent="0.25">
      <c r="A956" s="2" t="s">
        <v>2850</v>
      </c>
      <c r="B956" s="2" t="s">
        <v>262</v>
      </c>
      <c r="C956" s="2" t="s">
        <v>1257</v>
      </c>
      <c r="D956" s="2" t="s">
        <v>2851</v>
      </c>
      <c r="E956" s="3">
        <v>42433</v>
      </c>
      <c r="F956">
        <f t="shared" si="28"/>
        <v>3</v>
      </c>
      <c r="G956">
        <f t="shared" si="29"/>
        <v>2016</v>
      </c>
    </row>
    <row r="957" spans="1:7" x14ac:dyDescent="0.25">
      <c r="A957" s="2" t="s">
        <v>2852</v>
      </c>
      <c r="B957" s="2" t="s">
        <v>2853</v>
      </c>
      <c r="C957" s="2" t="s">
        <v>140</v>
      </c>
      <c r="D957" s="2" t="s">
        <v>1860</v>
      </c>
      <c r="E957" s="3">
        <v>42432</v>
      </c>
      <c r="F957">
        <f t="shared" si="28"/>
        <v>3</v>
      </c>
      <c r="G957">
        <f t="shared" si="29"/>
        <v>2016</v>
      </c>
    </row>
    <row r="958" spans="1:7" x14ac:dyDescent="0.25">
      <c r="A958" s="2" t="s">
        <v>526</v>
      </c>
      <c r="B958" s="2" t="s">
        <v>2854</v>
      </c>
      <c r="C958" s="2" t="s">
        <v>2855</v>
      </c>
      <c r="D958" s="2" t="s">
        <v>2856</v>
      </c>
      <c r="E958" s="3">
        <v>42431</v>
      </c>
      <c r="F958">
        <f t="shared" si="28"/>
        <v>3</v>
      </c>
      <c r="G958">
        <f t="shared" si="29"/>
        <v>2016</v>
      </c>
    </row>
    <row r="959" spans="1:7" x14ac:dyDescent="0.25">
      <c r="A959" s="2" t="s">
        <v>2857</v>
      </c>
      <c r="B959" s="2" t="s">
        <v>181</v>
      </c>
      <c r="C959" s="2" t="s">
        <v>2858</v>
      </c>
      <c r="D959" s="2" t="s">
        <v>2859</v>
      </c>
      <c r="E959" s="3">
        <v>42427</v>
      </c>
      <c r="F959">
        <f t="shared" si="28"/>
        <v>2</v>
      </c>
      <c r="G959">
        <f t="shared" si="29"/>
        <v>2016</v>
      </c>
    </row>
    <row r="960" spans="1:7" x14ac:dyDescent="0.25">
      <c r="A960" s="2" t="s">
        <v>2860</v>
      </c>
      <c r="B960" s="2" t="s">
        <v>2861</v>
      </c>
      <c r="C960" s="2" t="s">
        <v>42</v>
      </c>
      <c r="D960" s="2" t="s">
        <v>2862</v>
      </c>
      <c r="E960" s="3">
        <v>42426</v>
      </c>
      <c r="F960">
        <f t="shared" si="28"/>
        <v>2</v>
      </c>
      <c r="G960">
        <f t="shared" si="29"/>
        <v>2016</v>
      </c>
    </row>
    <row r="961" spans="1:7" x14ac:dyDescent="0.25">
      <c r="A961" s="2" t="s">
        <v>2863</v>
      </c>
      <c r="B961" s="2" t="s">
        <v>2864</v>
      </c>
      <c r="C961" s="2" t="s">
        <v>376</v>
      </c>
      <c r="D961" s="2" t="s">
        <v>2865</v>
      </c>
      <c r="E961" s="3">
        <v>42426</v>
      </c>
      <c r="F961">
        <f t="shared" si="28"/>
        <v>2</v>
      </c>
      <c r="G961">
        <f t="shared" si="29"/>
        <v>2016</v>
      </c>
    </row>
    <row r="962" spans="1:7" ht="24" x14ac:dyDescent="0.25">
      <c r="A962" s="2" t="s">
        <v>2866</v>
      </c>
      <c r="B962" s="2" t="s">
        <v>2867</v>
      </c>
      <c r="C962" s="2" t="s">
        <v>917</v>
      </c>
      <c r="D962" s="2" t="s">
        <v>2868</v>
      </c>
      <c r="E962" s="3">
        <v>42422</v>
      </c>
      <c r="F962">
        <f t="shared" si="28"/>
        <v>2</v>
      </c>
      <c r="G962">
        <f t="shared" si="29"/>
        <v>2016</v>
      </c>
    </row>
    <row r="963" spans="1:7" x14ac:dyDescent="0.25">
      <c r="A963" s="2" t="s">
        <v>431</v>
      </c>
      <c r="B963" s="2" t="s">
        <v>2869</v>
      </c>
      <c r="C963" s="2" t="s">
        <v>2463</v>
      </c>
      <c r="D963" s="2" t="s">
        <v>2870</v>
      </c>
      <c r="E963" s="3">
        <v>42419</v>
      </c>
      <c r="F963">
        <f t="shared" ref="F963:F1026" si="30">MONTH(E963)</f>
        <v>2</v>
      </c>
      <c r="G963">
        <f t="shared" ref="G963:G1026" si="31">YEAR(E963)</f>
        <v>2016</v>
      </c>
    </row>
    <row r="964" spans="1:7" x14ac:dyDescent="0.25">
      <c r="A964" s="2" t="s">
        <v>298</v>
      </c>
      <c r="B964" s="2" t="s">
        <v>181</v>
      </c>
      <c r="C964" s="2" t="s">
        <v>2871</v>
      </c>
      <c r="D964" s="2" t="s">
        <v>2872</v>
      </c>
      <c r="E964" s="3">
        <v>42418</v>
      </c>
      <c r="F964">
        <f t="shared" si="30"/>
        <v>2</v>
      </c>
      <c r="G964">
        <f t="shared" si="31"/>
        <v>2016</v>
      </c>
    </row>
    <row r="965" spans="1:7" x14ac:dyDescent="0.25">
      <c r="A965" s="2" t="s">
        <v>2873</v>
      </c>
      <c r="B965" s="2" t="s">
        <v>299</v>
      </c>
      <c r="C965" s="2" t="s">
        <v>140</v>
      </c>
      <c r="D965" s="2" t="s">
        <v>2874</v>
      </c>
      <c r="E965" s="3">
        <v>42417</v>
      </c>
      <c r="F965">
        <f t="shared" si="30"/>
        <v>2</v>
      </c>
      <c r="G965">
        <f t="shared" si="31"/>
        <v>2016</v>
      </c>
    </row>
    <row r="966" spans="1:7" x14ac:dyDescent="0.25">
      <c r="A966" s="2" t="s">
        <v>2875</v>
      </c>
      <c r="B966" s="2" t="s">
        <v>105</v>
      </c>
      <c r="C966" s="2" t="s">
        <v>2876</v>
      </c>
      <c r="D966" s="2" t="s">
        <v>2877</v>
      </c>
      <c r="E966" s="3">
        <v>42417</v>
      </c>
      <c r="F966">
        <f t="shared" si="30"/>
        <v>2</v>
      </c>
      <c r="G966">
        <f t="shared" si="31"/>
        <v>2016</v>
      </c>
    </row>
    <row r="967" spans="1:7" x14ac:dyDescent="0.25">
      <c r="A967" s="2" t="s">
        <v>362</v>
      </c>
      <c r="B967" s="2" t="s">
        <v>2246</v>
      </c>
      <c r="C967" s="2" t="s">
        <v>42</v>
      </c>
      <c r="D967" s="2" t="s">
        <v>1672</v>
      </c>
      <c r="E967" s="3">
        <v>42416</v>
      </c>
      <c r="F967">
        <f t="shared" si="30"/>
        <v>2</v>
      </c>
      <c r="G967">
        <f t="shared" si="31"/>
        <v>2016</v>
      </c>
    </row>
    <row r="968" spans="1:7" x14ac:dyDescent="0.25">
      <c r="A968" s="2" t="s">
        <v>2878</v>
      </c>
      <c r="B968" s="2" t="s">
        <v>425</v>
      </c>
      <c r="C968" s="2" t="s">
        <v>536</v>
      </c>
      <c r="D968" s="2" t="s">
        <v>2879</v>
      </c>
      <c r="E968" s="3">
        <v>42415</v>
      </c>
      <c r="F968">
        <f t="shared" si="30"/>
        <v>2</v>
      </c>
      <c r="G968">
        <f t="shared" si="31"/>
        <v>2016</v>
      </c>
    </row>
    <row r="969" spans="1:7" x14ac:dyDescent="0.25">
      <c r="A969" s="2" t="s">
        <v>2880</v>
      </c>
      <c r="B969" s="2" t="s">
        <v>2881</v>
      </c>
      <c r="C969" s="2" t="s">
        <v>2882</v>
      </c>
      <c r="D969" s="2" t="s">
        <v>2883</v>
      </c>
      <c r="E969" s="3">
        <v>42415</v>
      </c>
      <c r="F969">
        <f t="shared" si="30"/>
        <v>2</v>
      </c>
      <c r="G969">
        <f t="shared" si="31"/>
        <v>2016</v>
      </c>
    </row>
    <row r="970" spans="1:7" x14ac:dyDescent="0.25">
      <c r="A970" s="2" t="s">
        <v>2497</v>
      </c>
      <c r="B970" s="2" t="s">
        <v>2884</v>
      </c>
      <c r="C970" s="2" t="s">
        <v>2885</v>
      </c>
      <c r="D970" s="2" t="s">
        <v>2886</v>
      </c>
      <c r="E970" s="3">
        <v>42415</v>
      </c>
      <c r="F970">
        <f t="shared" si="30"/>
        <v>2</v>
      </c>
      <c r="G970">
        <f t="shared" si="31"/>
        <v>2016</v>
      </c>
    </row>
    <row r="971" spans="1:7" x14ac:dyDescent="0.25">
      <c r="A971" s="2" t="s">
        <v>2244</v>
      </c>
      <c r="B971" s="2" t="s">
        <v>2887</v>
      </c>
      <c r="C971" s="2" t="s">
        <v>2888</v>
      </c>
      <c r="D971" s="2" t="s">
        <v>549</v>
      </c>
      <c r="E971" s="3">
        <v>42414</v>
      </c>
      <c r="F971">
        <f t="shared" si="30"/>
        <v>2</v>
      </c>
      <c r="G971">
        <f t="shared" si="31"/>
        <v>2016</v>
      </c>
    </row>
    <row r="972" spans="1:7" x14ac:dyDescent="0.25">
      <c r="A972" s="2" t="s">
        <v>661</v>
      </c>
      <c r="B972" s="2" t="s">
        <v>2889</v>
      </c>
      <c r="C972" s="2" t="s">
        <v>2890</v>
      </c>
      <c r="D972" s="2" t="s">
        <v>502</v>
      </c>
      <c r="E972" s="3">
        <v>42414</v>
      </c>
      <c r="F972">
        <f t="shared" si="30"/>
        <v>2</v>
      </c>
      <c r="G972">
        <f t="shared" si="31"/>
        <v>2016</v>
      </c>
    </row>
    <row r="973" spans="1:7" x14ac:dyDescent="0.25">
      <c r="A973" s="2" t="s">
        <v>631</v>
      </c>
      <c r="B973" s="2" t="s">
        <v>101</v>
      </c>
      <c r="C973" s="2" t="s">
        <v>65</v>
      </c>
      <c r="D973" s="2" t="s">
        <v>450</v>
      </c>
      <c r="E973" s="3">
        <v>42412</v>
      </c>
      <c r="F973">
        <f t="shared" si="30"/>
        <v>2</v>
      </c>
      <c r="G973">
        <f t="shared" si="31"/>
        <v>2016</v>
      </c>
    </row>
    <row r="974" spans="1:7" x14ac:dyDescent="0.25">
      <c r="A974" s="2" t="s">
        <v>2497</v>
      </c>
      <c r="B974" s="2" t="s">
        <v>2498</v>
      </c>
      <c r="C974" s="2" t="s">
        <v>140</v>
      </c>
      <c r="D974" s="2" t="s">
        <v>2891</v>
      </c>
      <c r="E974" s="3">
        <v>42411</v>
      </c>
      <c r="F974">
        <f t="shared" si="30"/>
        <v>2</v>
      </c>
      <c r="G974">
        <f t="shared" si="31"/>
        <v>2016</v>
      </c>
    </row>
    <row r="975" spans="1:7" x14ac:dyDescent="0.25">
      <c r="A975" s="2" t="s">
        <v>2892</v>
      </c>
      <c r="B975" s="2" t="s">
        <v>2064</v>
      </c>
      <c r="C975" s="2" t="s">
        <v>2893</v>
      </c>
      <c r="D975" s="2" t="s">
        <v>2597</v>
      </c>
      <c r="E975" s="3">
        <v>42409</v>
      </c>
      <c r="F975">
        <f t="shared" si="30"/>
        <v>2</v>
      </c>
      <c r="G975">
        <f t="shared" si="31"/>
        <v>2016</v>
      </c>
    </row>
    <row r="976" spans="1:7" ht="24" x14ac:dyDescent="0.25">
      <c r="A976" s="2" t="s">
        <v>723</v>
      </c>
      <c r="B976" s="2" t="s">
        <v>2894</v>
      </c>
      <c r="C976" s="2" t="s">
        <v>2895</v>
      </c>
      <c r="D976" s="2" t="s">
        <v>2896</v>
      </c>
      <c r="E976" s="3">
        <v>42409</v>
      </c>
      <c r="F976">
        <f t="shared" si="30"/>
        <v>2</v>
      </c>
      <c r="G976">
        <f t="shared" si="31"/>
        <v>2016</v>
      </c>
    </row>
    <row r="977" spans="1:7" x14ac:dyDescent="0.25">
      <c r="A977" s="2" t="s">
        <v>2897</v>
      </c>
      <c r="B977" s="2" t="s">
        <v>319</v>
      </c>
      <c r="C977" s="2" t="s">
        <v>42</v>
      </c>
      <c r="D977" s="2" t="s">
        <v>2898</v>
      </c>
      <c r="E977" s="3">
        <v>42408</v>
      </c>
      <c r="F977">
        <f t="shared" si="30"/>
        <v>2</v>
      </c>
      <c r="G977">
        <f t="shared" si="31"/>
        <v>2016</v>
      </c>
    </row>
    <row r="978" spans="1:7" ht="24" x14ac:dyDescent="0.25">
      <c r="A978" s="2" t="s">
        <v>781</v>
      </c>
      <c r="B978" s="2" t="s">
        <v>2899</v>
      </c>
      <c r="C978" s="2" t="s">
        <v>2900</v>
      </c>
      <c r="D978" s="2" t="s">
        <v>141</v>
      </c>
      <c r="E978" s="3">
        <v>42406</v>
      </c>
      <c r="F978">
        <f t="shared" si="30"/>
        <v>2</v>
      </c>
      <c r="G978">
        <f t="shared" si="31"/>
        <v>2016</v>
      </c>
    </row>
    <row r="979" spans="1:7" ht="36" x14ac:dyDescent="0.25">
      <c r="A979" s="2" t="s">
        <v>2901</v>
      </c>
      <c r="B979" s="2" t="s">
        <v>2902</v>
      </c>
      <c r="C979" s="2" t="s">
        <v>2698</v>
      </c>
      <c r="D979" s="2" t="s">
        <v>2903</v>
      </c>
      <c r="E979" s="3">
        <v>42406</v>
      </c>
      <c r="F979">
        <f t="shared" si="30"/>
        <v>2</v>
      </c>
      <c r="G979">
        <f t="shared" si="31"/>
        <v>2016</v>
      </c>
    </row>
    <row r="980" spans="1:7" x14ac:dyDescent="0.25">
      <c r="A980" s="2" t="s">
        <v>2904</v>
      </c>
      <c r="B980" s="2" t="s">
        <v>181</v>
      </c>
      <c r="C980" s="2" t="s">
        <v>1637</v>
      </c>
      <c r="D980" s="2" t="s">
        <v>2905</v>
      </c>
      <c r="E980" s="3">
        <v>42405</v>
      </c>
      <c r="F980">
        <f t="shared" si="30"/>
        <v>2</v>
      </c>
      <c r="G980">
        <f t="shared" si="31"/>
        <v>2016</v>
      </c>
    </row>
    <row r="981" spans="1:7" ht="36" x14ac:dyDescent="0.25">
      <c r="A981" s="2" t="s">
        <v>2906</v>
      </c>
      <c r="B981" s="2" t="s">
        <v>2907</v>
      </c>
      <c r="C981" s="2" t="s">
        <v>2908</v>
      </c>
      <c r="D981" s="2" t="s">
        <v>361</v>
      </c>
      <c r="E981" s="3">
        <v>42404</v>
      </c>
      <c r="F981">
        <f t="shared" si="30"/>
        <v>2</v>
      </c>
      <c r="G981">
        <f t="shared" si="31"/>
        <v>2016</v>
      </c>
    </row>
    <row r="982" spans="1:7" ht="24" x14ac:dyDescent="0.25">
      <c r="A982" s="2" t="s">
        <v>2909</v>
      </c>
      <c r="B982" s="2" t="s">
        <v>2910</v>
      </c>
      <c r="C982" s="2" t="s">
        <v>2911</v>
      </c>
      <c r="D982" s="2" t="s">
        <v>2912</v>
      </c>
      <c r="E982" s="3">
        <v>42402</v>
      </c>
      <c r="F982">
        <f t="shared" si="30"/>
        <v>2</v>
      </c>
      <c r="G982">
        <f t="shared" si="31"/>
        <v>2016</v>
      </c>
    </row>
    <row r="983" spans="1:7" ht="24" x14ac:dyDescent="0.25">
      <c r="A983" s="2" t="s">
        <v>2913</v>
      </c>
      <c r="B983" s="2" t="s">
        <v>2914</v>
      </c>
      <c r="C983" s="2" t="s">
        <v>2915</v>
      </c>
      <c r="D983" s="2" t="s">
        <v>2916</v>
      </c>
      <c r="E983" s="3">
        <v>42402</v>
      </c>
      <c r="F983">
        <f t="shared" si="30"/>
        <v>2</v>
      </c>
      <c r="G983">
        <f t="shared" si="31"/>
        <v>2016</v>
      </c>
    </row>
    <row r="984" spans="1:7" x14ac:dyDescent="0.25">
      <c r="A984" s="2" t="s">
        <v>1630</v>
      </c>
      <c r="B984" s="2" t="s">
        <v>2917</v>
      </c>
      <c r="C984" s="2" t="s">
        <v>1367</v>
      </c>
      <c r="D984" s="2" t="s">
        <v>2837</v>
      </c>
      <c r="E984" s="3">
        <v>42391</v>
      </c>
      <c r="F984">
        <f t="shared" si="30"/>
        <v>1</v>
      </c>
      <c r="G984">
        <f t="shared" si="31"/>
        <v>2016</v>
      </c>
    </row>
    <row r="985" spans="1:7" x14ac:dyDescent="0.25">
      <c r="A985" s="2" t="s">
        <v>2918</v>
      </c>
      <c r="B985" s="2" t="s">
        <v>2919</v>
      </c>
      <c r="C985" s="2" t="s">
        <v>2920</v>
      </c>
      <c r="D985" s="2" t="s">
        <v>2921</v>
      </c>
      <c r="E985" s="3">
        <v>42389</v>
      </c>
      <c r="F985">
        <f t="shared" si="30"/>
        <v>1</v>
      </c>
      <c r="G985">
        <f t="shared" si="31"/>
        <v>2016</v>
      </c>
    </row>
    <row r="986" spans="1:7" x14ac:dyDescent="0.25">
      <c r="A986" s="2" t="s">
        <v>68</v>
      </c>
      <c r="B986" s="2" t="s">
        <v>2922</v>
      </c>
      <c r="C986" s="2" t="s">
        <v>42</v>
      </c>
      <c r="D986" s="2" t="s">
        <v>2837</v>
      </c>
      <c r="E986" s="3">
        <v>42388</v>
      </c>
      <c r="F986">
        <f t="shared" si="30"/>
        <v>1</v>
      </c>
      <c r="G986">
        <f t="shared" si="31"/>
        <v>2016</v>
      </c>
    </row>
    <row r="987" spans="1:7" x14ac:dyDescent="0.25">
      <c r="A987" s="2" t="s">
        <v>2923</v>
      </c>
      <c r="B987" s="2" t="s">
        <v>2924</v>
      </c>
      <c r="C987" s="2" t="s">
        <v>42</v>
      </c>
      <c r="D987" s="2" t="s">
        <v>311</v>
      </c>
      <c r="E987" s="3">
        <v>42388</v>
      </c>
      <c r="F987">
        <f t="shared" si="30"/>
        <v>1</v>
      </c>
      <c r="G987">
        <f t="shared" si="31"/>
        <v>2016</v>
      </c>
    </row>
    <row r="988" spans="1:7" x14ac:dyDescent="0.25">
      <c r="A988" s="2" t="s">
        <v>2925</v>
      </c>
      <c r="B988" s="2" t="s">
        <v>2926</v>
      </c>
      <c r="C988" s="2" t="s">
        <v>2927</v>
      </c>
      <c r="D988" s="2" t="s">
        <v>2928</v>
      </c>
      <c r="E988" s="3">
        <v>42386</v>
      </c>
      <c r="F988">
        <f t="shared" si="30"/>
        <v>1</v>
      </c>
      <c r="G988">
        <f t="shared" si="31"/>
        <v>2016</v>
      </c>
    </row>
    <row r="989" spans="1:7" x14ac:dyDescent="0.25">
      <c r="A989" s="2" t="s">
        <v>2929</v>
      </c>
      <c r="B989" s="2" t="s">
        <v>2930</v>
      </c>
      <c r="C989" s="2" t="s">
        <v>2931</v>
      </c>
      <c r="D989" s="2" t="s">
        <v>2932</v>
      </c>
      <c r="E989" s="3">
        <v>42382</v>
      </c>
      <c r="F989">
        <f t="shared" si="30"/>
        <v>1</v>
      </c>
      <c r="G989">
        <f t="shared" si="31"/>
        <v>2016</v>
      </c>
    </row>
    <row r="990" spans="1:7" ht="24" x14ac:dyDescent="0.25">
      <c r="A990" s="2" t="s">
        <v>2933</v>
      </c>
      <c r="B990" s="2" t="s">
        <v>2934</v>
      </c>
      <c r="C990" s="2" t="s">
        <v>2935</v>
      </c>
      <c r="D990" s="2" t="s">
        <v>2936</v>
      </c>
      <c r="E990" s="3">
        <v>42382</v>
      </c>
      <c r="F990">
        <f t="shared" si="30"/>
        <v>1</v>
      </c>
      <c r="G990">
        <f t="shared" si="31"/>
        <v>2016</v>
      </c>
    </row>
    <row r="991" spans="1:7" ht="24" x14ac:dyDescent="0.25">
      <c r="A991" s="2" t="s">
        <v>2937</v>
      </c>
      <c r="B991" s="2" t="s">
        <v>2938</v>
      </c>
      <c r="C991" s="2" t="s">
        <v>2939</v>
      </c>
      <c r="D991" s="2" t="s">
        <v>2940</v>
      </c>
      <c r="E991" s="3">
        <v>42382</v>
      </c>
      <c r="F991">
        <f t="shared" si="30"/>
        <v>1</v>
      </c>
      <c r="G991">
        <f t="shared" si="31"/>
        <v>2016</v>
      </c>
    </row>
    <row r="992" spans="1:7" x14ac:dyDescent="0.25">
      <c r="A992" s="2" t="s">
        <v>396</v>
      </c>
      <c r="B992" s="2" t="s">
        <v>2941</v>
      </c>
      <c r="C992" s="2" t="s">
        <v>351</v>
      </c>
      <c r="D992" s="2" t="s">
        <v>2942</v>
      </c>
      <c r="E992" s="3">
        <v>42382</v>
      </c>
      <c r="F992">
        <f t="shared" si="30"/>
        <v>1</v>
      </c>
      <c r="G992">
        <f t="shared" si="31"/>
        <v>2016</v>
      </c>
    </row>
    <row r="993" spans="1:7" x14ac:dyDescent="0.25">
      <c r="A993" s="2" t="s">
        <v>2943</v>
      </c>
      <c r="B993" s="2" t="s">
        <v>1408</v>
      </c>
      <c r="C993" s="2" t="s">
        <v>50</v>
      </c>
      <c r="D993" s="2" t="s">
        <v>1517</v>
      </c>
      <c r="E993" s="3">
        <v>42381</v>
      </c>
      <c r="F993">
        <f t="shared" si="30"/>
        <v>1</v>
      </c>
      <c r="G993">
        <f t="shared" si="31"/>
        <v>2016</v>
      </c>
    </row>
    <row r="994" spans="1:7" x14ac:dyDescent="0.25">
      <c r="A994" s="2" t="s">
        <v>48</v>
      </c>
      <c r="B994" s="2" t="s">
        <v>2944</v>
      </c>
      <c r="C994" s="2" t="s">
        <v>669</v>
      </c>
      <c r="D994" s="2" t="s">
        <v>670</v>
      </c>
      <c r="E994" s="3">
        <v>42379</v>
      </c>
      <c r="F994">
        <f t="shared" si="30"/>
        <v>1</v>
      </c>
      <c r="G994">
        <f t="shared" si="31"/>
        <v>2016</v>
      </c>
    </row>
    <row r="995" spans="1:7" x14ac:dyDescent="0.25">
      <c r="A995" s="2" t="s">
        <v>294</v>
      </c>
      <c r="B995" s="2" t="s">
        <v>381</v>
      </c>
      <c r="C995" s="2" t="s">
        <v>956</v>
      </c>
      <c r="D995" s="2" t="s">
        <v>2945</v>
      </c>
      <c r="E995" s="3">
        <v>42378</v>
      </c>
      <c r="F995">
        <f t="shared" si="30"/>
        <v>1</v>
      </c>
      <c r="G995">
        <f t="shared" si="31"/>
        <v>2016</v>
      </c>
    </row>
    <row r="996" spans="1:7" x14ac:dyDescent="0.25">
      <c r="A996" s="2" t="s">
        <v>2946</v>
      </c>
      <c r="B996" s="2" t="s">
        <v>2947</v>
      </c>
      <c r="C996" s="2" t="s">
        <v>140</v>
      </c>
      <c r="D996" s="2" t="s">
        <v>2948</v>
      </c>
      <c r="E996" s="3">
        <v>42377</v>
      </c>
      <c r="F996">
        <f t="shared" si="30"/>
        <v>1</v>
      </c>
      <c r="G996">
        <f t="shared" si="31"/>
        <v>2016</v>
      </c>
    </row>
    <row r="997" spans="1:7" x14ac:dyDescent="0.25">
      <c r="A997" s="2" t="s">
        <v>749</v>
      </c>
      <c r="B997" s="2" t="s">
        <v>2726</v>
      </c>
      <c r="C997" s="2" t="s">
        <v>2949</v>
      </c>
      <c r="D997" s="2" t="s">
        <v>2950</v>
      </c>
      <c r="E997" s="3">
        <v>42375</v>
      </c>
      <c r="F997">
        <f t="shared" si="30"/>
        <v>1</v>
      </c>
      <c r="G997">
        <f t="shared" si="31"/>
        <v>2016</v>
      </c>
    </row>
    <row r="998" spans="1:7" ht="24" x14ac:dyDescent="0.25">
      <c r="A998" s="2" t="s">
        <v>431</v>
      </c>
      <c r="B998" s="2" t="s">
        <v>967</v>
      </c>
      <c r="C998" s="2" t="s">
        <v>2951</v>
      </c>
      <c r="D998" s="2" t="s">
        <v>1705</v>
      </c>
      <c r="E998" s="3">
        <v>42371</v>
      </c>
      <c r="F998">
        <f t="shared" si="30"/>
        <v>1</v>
      </c>
      <c r="G998">
        <f t="shared" si="31"/>
        <v>2016</v>
      </c>
    </row>
    <row r="999" spans="1:7" x14ac:dyDescent="0.25">
      <c r="A999" s="2" t="s">
        <v>2952</v>
      </c>
      <c r="B999" s="2" t="s">
        <v>2953</v>
      </c>
      <c r="C999" s="2" t="s">
        <v>42</v>
      </c>
      <c r="D999" s="2" t="s">
        <v>2439</v>
      </c>
      <c r="E999" s="3">
        <v>42370</v>
      </c>
      <c r="F999">
        <f t="shared" si="30"/>
        <v>1</v>
      </c>
      <c r="G999">
        <f t="shared" si="31"/>
        <v>2016</v>
      </c>
    </row>
    <row r="1000" spans="1:7" x14ac:dyDescent="0.25">
      <c r="A1000" s="2" t="s">
        <v>2954</v>
      </c>
      <c r="B1000" s="2" t="s">
        <v>2955</v>
      </c>
      <c r="C1000" s="2" t="s">
        <v>2956</v>
      </c>
      <c r="D1000" s="2" t="s">
        <v>2957</v>
      </c>
      <c r="E1000" s="3">
        <v>42368</v>
      </c>
      <c r="F1000">
        <f t="shared" si="30"/>
        <v>12</v>
      </c>
      <c r="G1000">
        <f t="shared" si="31"/>
        <v>2015</v>
      </c>
    </row>
    <row r="1001" spans="1:7" x14ac:dyDescent="0.25">
      <c r="A1001" s="2" t="s">
        <v>2958</v>
      </c>
      <c r="B1001" s="2" t="s">
        <v>2959</v>
      </c>
      <c r="C1001" s="2" t="s">
        <v>2698</v>
      </c>
      <c r="D1001" s="2" t="s">
        <v>2960</v>
      </c>
      <c r="E1001" s="3">
        <v>42366</v>
      </c>
      <c r="F1001">
        <f t="shared" si="30"/>
        <v>12</v>
      </c>
      <c r="G1001">
        <f t="shared" si="31"/>
        <v>2015</v>
      </c>
    </row>
    <row r="1002" spans="1:7" x14ac:dyDescent="0.25">
      <c r="A1002" s="2" t="s">
        <v>333</v>
      </c>
      <c r="B1002" s="2" t="s">
        <v>232</v>
      </c>
      <c r="C1002" s="2" t="s">
        <v>2961</v>
      </c>
      <c r="D1002" s="2" t="s">
        <v>88</v>
      </c>
      <c r="E1002" s="3">
        <v>42365</v>
      </c>
      <c r="F1002">
        <f t="shared" si="30"/>
        <v>12</v>
      </c>
      <c r="G1002">
        <f t="shared" si="31"/>
        <v>2015</v>
      </c>
    </row>
    <row r="1003" spans="1:7" x14ac:dyDescent="0.25">
      <c r="A1003" s="2" t="s">
        <v>631</v>
      </c>
      <c r="B1003" s="2" t="s">
        <v>2962</v>
      </c>
      <c r="C1003" s="2" t="s">
        <v>2963</v>
      </c>
      <c r="D1003" s="2" t="s">
        <v>2964</v>
      </c>
      <c r="E1003" s="3">
        <v>42359</v>
      </c>
      <c r="F1003">
        <f t="shared" si="30"/>
        <v>12</v>
      </c>
      <c r="G1003">
        <f t="shared" si="31"/>
        <v>2015</v>
      </c>
    </row>
    <row r="1004" spans="1:7" x14ac:dyDescent="0.25">
      <c r="A1004" s="2" t="s">
        <v>2965</v>
      </c>
      <c r="B1004" s="2" t="s">
        <v>2966</v>
      </c>
      <c r="C1004" s="2" t="s">
        <v>65</v>
      </c>
      <c r="D1004" s="2" t="s">
        <v>2967</v>
      </c>
      <c r="E1004" s="3">
        <v>42354</v>
      </c>
      <c r="F1004">
        <f t="shared" si="30"/>
        <v>12</v>
      </c>
      <c r="G1004">
        <f t="shared" si="31"/>
        <v>2015</v>
      </c>
    </row>
    <row r="1005" spans="1:7" x14ac:dyDescent="0.25">
      <c r="A1005" s="2" t="s">
        <v>1104</v>
      </c>
      <c r="B1005" s="2" t="s">
        <v>2968</v>
      </c>
      <c r="C1005" s="2" t="s">
        <v>42</v>
      </c>
      <c r="D1005" s="2" t="s">
        <v>2969</v>
      </c>
      <c r="E1005" s="3">
        <v>42352</v>
      </c>
      <c r="F1005">
        <f t="shared" si="30"/>
        <v>12</v>
      </c>
      <c r="G1005">
        <f t="shared" si="31"/>
        <v>2015</v>
      </c>
    </row>
    <row r="1006" spans="1:7" x14ac:dyDescent="0.25">
      <c r="A1006" s="2" t="s">
        <v>2970</v>
      </c>
      <c r="B1006" s="2" t="s">
        <v>2971</v>
      </c>
      <c r="C1006" s="2" t="s">
        <v>2722</v>
      </c>
      <c r="D1006" s="2" t="s">
        <v>2972</v>
      </c>
      <c r="E1006" s="3">
        <v>42348</v>
      </c>
      <c r="F1006">
        <f t="shared" si="30"/>
        <v>12</v>
      </c>
      <c r="G1006">
        <f t="shared" si="31"/>
        <v>2015</v>
      </c>
    </row>
    <row r="1007" spans="1:7" x14ac:dyDescent="0.25">
      <c r="A1007" s="2" t="s">
        <v>2973</v>
      </c>
      <c r="B1007" s="2" t="s">
        <v>786</v>
      </c>
      <c r="C1007" s="2" t="s">
        <v>2258</v>
      </c>
      <c r="D1007" s="2" t="s">
        <v>2974</v>
      </c>
      <c r="E1007" s="3">
        <v>42347</v>
      </c>
      <c r="F1007">
        <f t="shared" si="30"/>
        <v>12</v>
      </c>
      <c r="G1007">
        <f t="shared" si="31"/>
        <v>2015</v>
      </c>
    </row>
    <row r="1008" spans="1:7" x14ac:dyDescent="0.25">
      <c r="A1008" s="2" t="s">
        <v>2975</v>
      </c>
      <c r="B1008" s="2" t="s">
        <v>1247</v>
      </c>
      <c r="C1008" s="2" t="s">
        <v>2976</v>
      </c>
      <c r="D1008" s="2" t="s">
        <v>2977</v>
      </c>
      <c r="E1008" s="3">
        <v>42346</v>
      </c>
      <c r="F1008">
        <f t="shared" si="30"/>
        <v>12</v>
      </c>
      <c r="G1008">
        <f t="shared" si="31"/>
        <v>2015</v>
      </c>
    </row>
    <row r="1009" spans="1:7" ht="24" x14ac:dyDescent="0.25">
      <c r="A1009" s="2" t="s">
        <v>2978</v>
      </c>
      <c r="B1009" s="2" t="s">
        <v>2979</v>
      </c>
      <c r="C1009" s="2" t="s">
        <v>2980</v>
      </c>
      <c r="D1009" s="2" t="s">
        <v>2981</v>
      </c>
      <c r="E1009" s="3">
        <v>42345</v>
      </c>
      <c r="F1009">
        <f t="shared" si="30"/>
        <v>12</v>
      </c>
      <c r="G1009">
        <f t="shared" si="31"/>
        <v>2015</v>
      </c>
    </row>
    <row r="1010" spans="1:7" x14ac:dyDescent="0.25">
      <c r="A1010" s="2" t="s">
        <v>2982</v>
      </c>
      <c r="B1010" s="2" t="s">
        <v>2983</v>
      </c>
      <c r="C1010" s="2" t="s">
        <v>2984</v>
      </c>
      <c r="D1010" s="2" t="s">
        <v>450</v>
      </c>
      <c r="E1010" s="3">
        <v>42345</v>
      </c>
      <c r="F1010">
        <f t="shared" si="30"/>
        <v>12</v>
      </c>
      <c r="G1010">
        <f t="shared" si="31"/>
        <v>2015</v>
      </c>
    </row>
    <row r="1011" spans="1:7" ht="24" x14ac:dyDescent="0.25">
      <c r="A1011" s="2" t="s">
        <v>2985</v>
      </c>
      <c r="B1011" s="2" t="s">
        <v>2986</v>
      </c>
      <c r="C1011" s="2" t="s">
        <v>2987</v>
      </c>
      <c r="D1011" s="2" t="s">
        <v>2988</v>
      </c>
      <c r="E1011" s="3">
        <v>42345</v>
      </c>
      <c r="F1011">
        <f t="shared" si="30"/>
        <v>12</v>
      </c>
      <c r="G1011">
        <f t="shared" si="31"/>
        <v>2015</v>
      </c>
    </row>
    <row r="1012" spans="1:7" ht="24" x14ac:dyDescent="0.25">
      <c r="A1012" s="2" t="s">
        <v>257</v>
      </c>
      <c r="B1012" s="2" t="s">
        <v>2139</v>
      </c>
      <c r="C1012" s="2" t="s">
        <v>2989</v>
      </c>
      <c r="D1012" s="2" t="s">
        <v>2990</v>
      </c>
      <c r="E1012" s="3">
        <v>42344</v>
      </c>
      <c r="F1012">
        <f t="shared" si="30"/>
        <v>12</v>
      </c>
      <c r="G1012">
        <f t="shared" si="31"/>
        <v>2015</v>
      </c>
    </row>
    <row r="1013" spans="1:7" ht="36" x14ac:dyDescent="0.25">
      <c r="A1013" s="2" t="s">
        <v>2991</v>
      </c>
      <c r="B1013" s="2" t="s">
        <v>2992</v>
      </c>
      <c r="C1013" s="2" t="s">
        <v>2993</v>
      </c>
      <c r="D1013" s="2" t="s">
        <v>74</v>
      </c>
      <c r="E1013" s="3">
        <v>42344</v>
      </c>
      <c r="F1013">
        <f t="shared" si="30"/>
        <v>12</v>
      </c>
      <c r="G1013">
        <f t="shared" si="31"/>
        <v>2015</v>
      </c>
    </row>
    <row r="1014" spans="1:7" ht="24" x14ac:dyDescent="0.25">
      <c r="A1014" s="2" t="s">
        <v>2994</v>
      </c>
      <c r="B1014" s="2" t="s">
        <v>2995</v>
      </c>
      <c r="C1014" s="2" t="s">
        <v>2996</v>
      </c>
      <c r="D1014" s="2" t="s">
        <v>2997</v>
      </c>
      <c r="E1014" s="3">
        <v>42341</v>
      </c>
      <c r="F1014">
        <f t="shared" si="30"/>
        <v>12</v>
      </c>
      <c r="G1014">
        <f t="shared" si="31"/>
        <v>2015</v>
      </c>
    </row>
    <row r="1015" spans="1:7" x14ac:dyDescent="0.25">
      <c r="A1015" s="2" t="s">
        <v>424</v>
      </c>
      <c r="B1015" s="2" t="s">
        <v>2998</v>
      </c>
      <c r="C1015" s="2" t="s">
        <v>2999</v>
      </c>
      <c r="D1015" s="2" t="s">
        <v>51</v>
      </c>
      <c r="E1015" s="3">
        <v>42338</v>
      </c>
      <c r="F1015">
        <f t="shared" si="30"/>
        <v>11</v>
      </c>
      <c r="G1015">
        <f t="shared" si="31"/>
        <v>2015</v>
      </c>
    </row>
    <row r="1016" spans="1:7" x14ac:dyDescent="0.25">
      <c r="A1016" s="2" t="s">
        <v>3000</v>
      </c>
      <c r="B1016" s="2" t="s">
        <v>1191</v>
      </c>
      <c r="C1016" s="2" t="s">
        <v>42</v>
      </c>
      <c r="D1016" s="2" t="s">
        <v>3001</v>
      </c>
      <c r="E1016" s="3">
        <v>42337</v>
      </c>
      <c r="F1016">
        <f t="shared" si="30"/>
        <v>11</v>
      </c>
      <c r="G1016">
        <f t="shared" si="31"/>
        <v>2015</v>
      </c>
    </row>
    <row r="1017" spans="1:7" x14ac:dyDescent="0.25">
      <c r="A1017" s="2" t="s">
        <v>580</v>
      </c>
      <c r="B1017" s="2" t="s">
        <v>3002</v>
      </c>
      <c r="C1017" s="2" t="s">
        <v>42</v>
      </c>
      <c r="D1017" s="2" t="s">
        <v>1517</v>
      </c>
      <c r="E1017" s="3">
        <v>42336</v>
      </c>
      <c r="F1017">
        <f t="shared" si="30"/>
        <v>11</v>
      </c>
      <c r="G1017">
        <f t="shared" si="31"/>
        <v>2015</v>
      </c>
    </row>
    <row r="1018" spans="1:7" x14ac:dyDescent="0.25">
      <c r="A1018" s="2" t="s">
        <v>565</v>
      </c>
      <c r="B1018" s="2" t="s">
        <v>3003</v>
      </c>
      <c r="C1018" s="2" t="s">
        <v>1645</v>
      </c>
      <c r="D1018" s="2" t="s">
        <v>3004</v>
      </c>
      <c r="E1018" s="3">
        <v>42336</v>
      </c>
      <c r="F1018">
        <f t="shared" si="30"/>
        <v>11</v>
      </c>
      <c r="G1018">
        <f t="shared" si="31"/>
        <v>2015</v>
      </c>
    </row>
    <row r="1019" spans="1:7" ht="24" x14ac:dyDescent="0.25">
      <c r="A1019" s="2" t="s">
        <v>3005</v>
      </c>
      <c r="B1019" s="2" t="s">
        <v>3006</v>
      </c>
      <c r="C1019" s="2" t="s">
        <v>1480</v>
      </c>
      <c r="D1019" s="2" t="s">
        <v>3007</v>
      </c>
      <c r="E1019" s="3">
        <v>42336</v>
      </c>
      <c r="F1019">
        <f t="shared" si="30"/>
        <v>11</v>
      </c>
      <c r="G1019">
        <f t="shared" si="31"/>
        <v>2015</v>
      </c>
    </row>
    <row r="1020" spans="1:7" x14ac:dyDescent="0.25">
      <c r="A1020" s="2" t="s">
        <v>565</v>
      </c>
      <c r="B1020" s="2" t="s">
        <v>2250</v>
      </c>
      <c r="C1020" s="2" t="s">
        <v>3008</v>
      </c>
      <c r="D1020" s="2" t="s">
        <v>419</v>
      </c>
      <c r="E1020" s="3">
        <v>42336</v>
      </c>
      <c r="F1020">
        <f t="shared" si="30"/>
        <v>11</v>
      </c>
      <c r="G1020">
        <f t="shared" si="31"/>
        <v>2015</v>
      </c>
    </row>
    <row r="1021" spans="1:7" x14ac:dyDescent="0.25">
      <c r="A1021" s="2" t="s">
        <v>3009</v>
      </c>
      <c r="B1021" s="2" t="s">
        <v>3010</v>
      </c>
      <c r="C1021" s="2" t="s">
        <v>2976</v>
      </c>
      <c r="D1021" s="2" t="s">
        <v>2790</v>
      </c>
      <c r="E1021" s="3">
        <v>42335</v>
      </c>
      <c r="F1021">
        <f t="shared" si="30"/>
        <v>11</v>
      </c>
      <c r="G1021">
        <f t="shared" si="31"/>
        <v>2015</v>
      </c>
    </row>
    <row r="1022" spans="1:7" ht="24" x14ac:dyDescent="0.25">
      <c r="A1022" s="2" t="s">
        <v>2169</v>
      </c>
      <c r="B1022" s="2" t="s">
        <v>3011</v>
      </c>
      <c r="C1022" s="2" t="s">
        <v>3012</v>
      </c>
      <c r="D1022" s="2" t="s">
        <v>3013</v>
      </c>
      <c r="E1022" s="3">
        <v>42333</v>
      </c>
      <c r="F1022">
        <f t="shared" si="30"/>
        <v>11</v>
      </c>
      <c r="G1022">
        <f t="shared" si="31"/>
        <v>2015</v>
      </c>
    </row>
    <row r="1023" spans="1:7" x14ac:dyDescent="0.25">
      <c r="A1023" s="2" t="s">
        <v>3014</v>
      </c>
      <c r="B1023" s="2" t="s">
        <v>2204</v>
      </c>
      <c r="C1023" s="2" t="s">
        <v>1057</v>
      </c>
      <c r="D1023" s="2" t="s">
        <v>3015</v>
      </c>
      <c r="E1023" s="3">
        <v>42333</v>
      </c>
      <c r="F1023">
        <f t="shared" si="30"/>
        <v>11</v>
      </c>
      <c r="G1023">
        <f t="shared" si="31"/>
        <v>2015</v>
      </c>
    </row>
    <row r="1024" spans="1:7" x14ac:dyDescent="0.25">
      <c r="A1024" s="2" t="s">
        <v>3016</v>
      </c>
      <c r="B1024" s="2" t="s">
        <v>3017</v>
      </c>
      <c r="C1024" s="2" t="s">
        <v>65</v>
      </c>
      <c r="D1024" s="2" t="s">
        <v>3018</v>
      </c>
      <c r="E1024" s="3">
        <v>42332</v>
      </c>
      <c r="F1024">
        <f t="shared" si="30"/>
        <v>11</v>
      </c>
      <c r="G1024">
        <f t="shared" si="31"/>
        <v>2015</v>
      </c>
    </row>
    <row r="1025" spans="1:7" ht="24" x14ac:dyDescent="0.25">
      <c r="A1025" s="2" t="s">
        <v>3019</v>
      </c>
      <c r="B1025" s="2" t="s">
        <v>3020</v>
      </c>
      <c r="C1025" s="2" t="s">
        <v>3021</v>
      </c>
      <c r="D1025" s="2" t="s">
        <v>3022</v>
      </c>
      <c r="E1025" s="3">
        <v>42332</v>
      </c>
      <c r="F1025">
        <f t="shared" si="30"/>
        <v>11</v>
      </c>
      <c r="G1025">
        <f t="shared" si="31"/>
        <v>2015</v>
      </c>
    </row>
    <row r="1026" spans="1:7" x14ac:dyDescent="0.25">
      <c r="A1026" s="2" t="s">
        <v>3023</v>
      </c>
      <c r="B1026" s="2" t="s">
        <v>105</v>
      </c>
      <c r="C1026" s="2" t="s">
        <v>1367</v>
      </c>
      <c r="D1026" s="2" t="s">
        <v>2828</v>
      </c>
      <c r="E1026" s="3">
        <v>42331</v>
      </c>
      <c r="F1026">
        <f t="shared" si="30"/>
        <v>11</v>
      </c>
      <c r="G1026">
        <f t="shared" si="31"/>
        <v>2015</v>
      </c>
    </row>
    <row r="1027" spans="1:7" x14ac:dyDescent="0.25">
      <c r="A1027" s="2" t="s">
        <v>3024</v>
      </c>
      <c r="B1027" s="2" t="s">
        <v>3025</v>
      </c>
      <c r="C1027" s="2" t="s">
        <v>3026</v>
      </c>
      <c r="D1027" s="2" t="s">
        <v>221</v>
      </c>
      <c r="E1027" s="3">
        <v>42331</v>
      </c>
      <c r="F1027">
        <f t="shared" ref="F1027:F1090" si="32">MONTH(E1027)</f>
        <v>11</v>
      </c>
      <c r="G1027">
        <f t="shared" ref="G1027:G1090" si="33">YEAR(E1027)</f>
        <v>2015</v>
      </c>
    </row>
    <row r="1028" spans="1:7" x14ac:dyDescent="0.25">
      <c r="A1028" s="2" t="s">
        <v>3027</v>
      </c>
      <c r="B1028" s="2" t="s">
        <v>3028</v>
      </c>
      <c r="C1028" s="2" t="s">
        <v>3029</v>
      </c>
      <c r="D1028" s="2" t="s">
        <v>3030</v>
      </c>
      <c r="E1028" s="3">
        <v>42331</v>
      </c>
      <c r="F1028">
        <f t="shared" si="32"/>
        <v>11</v>
      </c>
      <c r="G1028">
        <f t="shared" si="33"/>
        <v>2015</v>
      </c>
    </row>
    <row r="1029" spans="1:7" ht="24" x14ac:dyDescent="0.25">
      <c r="A1029" s="2" t="s">
        <v>3031</v>
      </c>
      <c r="B1029" s="2" t="s">
        <v>3032</v>
      </c>
      <c r="C1029" s="2" t="s">
        <v>576</v>
      </c>
      <c r="D1029" s="2" t="s">
        <v>3033</v>
      </c>
      <c r="E1029" s="3">
        <v>42331</v>
      </c>
      <c r="F1029">
        <f t="shared" si="32"/>
        <v>11</v>
      </c>
      <c r="G1029">
        <f t="shared" si="33"/>
        <v>2015</v>
      </c>
    </row>
    <row r="1030" spans="1:7" x14ac:dyDescent="0.25">
      <c r="A1030" s="2" t="s">
        <v>3034</v>
      </c>
      <c r="B1030" s="2" t="s">
        <v>3035</v>
      </c>
      <c r="C1030" s="2" t="s">
        <v>3036</v>
      </c>
      <c r="D1030" s="2" t="s">
        <v>3037</v>
      </c>
      <c r="E1030" s="3">
        <v>42330</v>
      </c>
      <c r="F1030">
        <f t="shared" si="32"/>
        <v>11</v>
      </c>
      <c r="G1030">
        <f t="shared" si="33"/>
        <v>2015</v>
      </c>
    </row>
    <row r="1031" spans="1:7" ht="24" x14ac:dyDescent="0.25">
      <c r="A1031" s="2" t="s">
        <v>3038</v>
      </c>
      <c r="B1031" s="2" t="s">
        <v>3039</v>
      </c>
      <c r="C1031" s="2" t="s">
        <v>140</v>
      </c>
      <c r="D1031" s="2" t="s">
        <v>3040</v>
      </c>
      <c r="E1031" s="3">
        <v>42328</v>
      </c>
      <c r="F1031">
        <f t="shared" si="32"/>
        <v>11</v>
      </c>
      <c r="G1031">
        <f t="shared" si="33"/>
        <v>2015</v>
      </c>
    </row>
    <row r="1032" spans="1:7" x14ac:dyDescent="0.25">
      <c r="A1032" s="2" t="s">
        <v>3041</v>
      </c>
      <c r="B1032" s="2" t="s">
        <v>3042</v>
      </c>
      <c r="C1032" s="2" t="s">
        <v>532</v>
      </c>
      <c r="D1032" s="2" t="s">
        <v>3043</v>
      </c>
      <c r="E1032" s="3">
        <v>42327</v>
      </c>
      <c r="F1032">
        <f t="shared" si="32"/>
        <v>11</v>
      </c>
      <c r="G1032">
        <f t="shared" si="33"/>
        <v>2015</v>
      </c>
    </row>
    <row r="1033" spans="1:7" x14ac:dyDescent="0.25">
      <c r="A1033" s="2" t="s">
        <v>3044</v>
      </c>
      <c r="B1033" s="2" t="s">
        <v>232</v>
      </c>
      <c r="C1033" s="2" t="s">
        <v>3045</v>
      </c>
      <c r="D1033" s="2" t="s">
        <v>2740</v>
      </c>
      <c r="E1033" s="3">
        <v>42327</v>
      </c>
      <c r="F1033">
        <f t="shared" si="32"/>
        <v>11</v>
      </c>
      <c r="G1033">
        <f t="shared" si="33"/>
        <v>2015</v>
      </c>
    </row>
    <row r="1034" spans="1:7" ht="36" x14ac:dyDescent="0.25">
      <c r="A1034" s="2" t="s">
        <v>1572</v>
      </c>
      <c r="B1034" s="2" t="s">
        <v>3046</v>
      </c>
      <c r="C1034" s="2" t="s">
        <v>42</v>
      </c>
      <c r="D1034" s="2" t="s">
        <v>3047</v>
      </c>
      <c r="E1034" s="3">
        <v>42326</v>
      </c>
      <c r="F1034">
        <f t="shared" si="32"/>
        <v>11</v>
      </c>
      <c r="G1034">
        <f t="shared" si="33"/>
        <v>2015</v>
      </c>
    </row>
    <row r="1035" spans="1:7" x14ac:dyDescent="0.25">
      <c r="A1035" s="2" t="s">
        <v>3048</v>
      </c>
      <c r="B1035" s="2" t="s">
        <v>2805</v>
      </c>
      <c r="C1035" s="2" t="s">
        <v>3049</v>
      </c>
      <c r="D1035" s="2" t="s">
        <v>201</v>
      </c>
      <c r="E1035" s="3">
        <v>42326</v>
      </c>
      <c r="F1035">
        <f t="shared" si="32"/>
        <v>11</v>
      </c>
      <c r="G1035">
        <f t="shared" si="33"/>
        <v>2015</v>
      </c>
    </row>
    <row r="1036" spans="1:7" x14ac:dyDescent="0.25">
      <c r="A1036" s="2" t="s">
        <v>705</v>
      </c>
      <c r="B1036" s="2" t="s">
        <v>3050</v>
      </c>
      <c r="C1036" s="2" t="s">
        <v>3051</v>
      </c>
      <c r="D1036" s="2" t="s">
        <v>3052</v>
      </c>
      <c r="E1036" s="3">
        <v>42325</v>
      </c>
      <c r="F1036">
        <f t="shared" si="32"/>
        <v>11</v>
      </c>
      <c r="G1036">
        <f t="shared" si="33"/>
        <v>2015</v>
      </c>
    </row>
    <row r="1037" spans="1:7" x14ac:dyDescent="0.25">
      <c r="A1037" s="2" t="s">
        <v>1258</v>
      </c>
      <c r="B1037" s="2" t="s">
        <v>3053</v>
      </c>
      <c r="C1037" s="2" t="s">
        <v>87</v>
      </c>
      <c r="D1037" s="2" t="s">
        <v>3054</v>
      </c>
      <c r="E1037" s="3">
        <v>42325</v>
      </c>
      <c r="F1037">
        <f t="shared" si="32"/>
        <v>11</v>
      </c>
      <c r="G1037">
        <f t="shared" si="33"/>
        <v>2015</v>
      </c>
    </row>
    <row r="1038" spans="1:7" x14ac:dyDescent="0.25">
      <c r="A1038" s="2" t="s">
        <v>249</v>
      </c>
      <c r="B1038" s="2" t="s">
        <v>3055</v>
      </c>
      <c r="C1038" s="2" t="s">
        <v>3056</v>
      </c>
      <c r="D1038" s="2" t="s">
        <v>1529</v>
      </c>
      <c r="E1038" s="3">
        <v>42325</v>
      </c>
      <c r="F1038">
        <f t="shared" si="32"/>
        <v>11</v>
      </c>
      <c r="G1038">
        <f t="shared" si="33"/>
        <v>2015</v>
      </c>
    </row>
    <row r="1039" spans="1:7" x14ac:dyDescent="0.25">
      <c r="A1039" s="2" t="s">
        <v>3057</v>
      </c>
      <c r="B1039" s="2" t="s">
        <v>3058</v>
      </c>
      <c r="C1039" s="2" t="s">
        <v>3059</v>
      </c>
      <c r="D1039" s="2" t="s">
        <v>3060</v>
      </c>
      <c r="E1039" s="3">
        <v>42325</v>
      </c>
      <c r="F1039">
        <f t="shared" si="32"/>
        <v>11</v>
      </c>
      <c r="G1039">
        <f t="shared" si="33"/>
        <v>2015</v>
      </c>
    </row>
    <row r="1040" spans="1:7" x14ac:dyDescent="0.25">
      <c r="A1040" s="2" t="s">
        <v>3061</v>
      </c>
      <c r="B1040" s="2" t="s">
        <v>232</v>
      </c>
      <c r="C1040" s="2" t="s">
        <v>3062</v>
      </c>
      <c r="D1040" s="2" t="s">
        <v>3063</v>
      </c>
      <c r="E1040" s="3">
        <v>42325</v>
      </c>
      <c r="F1040">
        <f t="shared" si="32"/>
        <v>11</v>
      </c>
      <c r="G1040">
        <f t="shared" si="33"/>
        <v>2015</v>
      </c>
    </row>
    <row r="1041" spans="1:7" x14ac:dyDescent="0.25">
      <c r="A1041" s="2" t="s">
        <v>3064</v>
      </c>
      <c r="B1041" s="2" t="s">
        <v>3065</v>
      </c>
      <c r="C1041" s="2" t="s">
        <v>3066</v>
      </c>
      <c r="D1041" s="2" t="s">
        <v>3067</v>
      </c>
      <c r="E1041" s="3">
        <v>42324</v>
      </c>
      <c r="F1041">
        <f t="shared" si="32"/>
        <v>11</v>
      </c>
      <c r="G1041">
        <f t="shared" si="33"/>
        <v>2015</v>
      </c>
    </row>
    <row r="1042" spans="1:7" x14ac:dyDescent="0.25">
      <c r="A1042" s="2" t="s">
        <v>3068</v>
      </c>
      <c r="B1042" s="2" t="s">
        <v>3069</v>
      </c>
      <c r="C1042" s="2" t="s">
        <v>3070</v>
      </c>
      <c r="D1042" s="2" t="s">
        <v>3071</v>
      </c>
      <c r="E1042" s="3">
        <v>42324</v>
      </c>
      <c r="F1042">
        <f t="shared" si="32"/>
        <v>11</v>
      </c>
      <c r="G1042">
        <f t="shared" si="33"/>
        <v>2015</v>
      </c>
    </row>
    <row r="1043" spans="1:7" x14ac:dyDescent="0.25">
      <c r="A1043" s="2" t="s">
        <v>1947</v>
      </c>
      <c r="B1043" s="2" t="s">
        <v>155</v>
      </c>
      <c r="C1043" s="2" t="s">
        <v>2424</v>
      </c>
      <c r="D1043" s="2" t="s">
        <v>3072</v>
      </c>
      <c r="E1043" s="3">
        <v>42324</v>
      </c>
      <c r="F1043">
        <f t="shared" si="32"/>
        <v>11</v>
      </c>
      <c r="G1043">
        <f t="shared" si="33"/>
        <v>2015</v>
      </c>
    </row>
    <row r="1044" spans="1:7" ht="24" x14ac:dyDescent="0.25">
      <c r="A1044" s="2" t="s">
        <v>5</v>
      </c>
      <c r="B1044" s="2" t="s">
        <v>2721</v>
      </c>
      <c r="C1044" s="2" t="s">
        <v>3073</v>
      </c>
      <c r="D1044" s="2" t="s">
        <v>3074</v>
      </c>
      <c r="E1044" s="3">
        <v>42322</v>
      </c>
      <c r="F1044">
        <f t="shared" si="32"/>
        <v>11</v>
      </c>
      <c r="G1044">
        <f t="shared" si="33"/>
        <v>2015</v>
      </c>
    </row>
    <row r="1045" spans="1:7" x14ac:dyDescent="0.25">
      <c r="A1045" s="2" t="s">
        <v>3075</v>
      </c>
      <c r="B1045" s="2" t="s">
        <v>68</v>
      </c>
      <c r="C1045" s="2" t="s">
        <v>3076</v>
      </c>
      <c r="D1045" s="2" t="s">
        <v>3077</v>
      </c>
      <c r="E1045" s="3">
        <v>42322</v>
      </c>
      <c r="F1045">
        <f t="shared" si="32"/>
        <v>11</v>
      </c>
      <c r="G1045">
        <f t="shared" si="33"/>
        <v>2015</v>
      </c>
    </row>
    <row r="1046" spans="1:7" x14ac:dyDescent="0.25">
      <c r="A1046" s="2" t="s">
        <v>1630</v>
      </c>
      <c r="B1046" s="2" t="s">
        <v>3078</v>
      </c>
      <c r="C1046" s="2" t="s">
        <v>3079</v>
      </c>
      <c r="D1046" s="2" t="s">
        <v>3080</v>
      </c>
      <c r="E1046" s="3">
        <v>42321</v>
      </c>
      <c r="F1046">
        <f t="shared" si="32"/>
        <v>11</v>
      </c>
      <c r="G1046">
        <f t="shared" si="33"/>
        <v>2015</v>
      </c>
    </row>
    <row r="1047" spans="1:7" x14ac:dyDescent="0.25">
      <c r="A1047" s="2" t="s">
        <v>3081</v>
      </c>
      <c r="B1047" s="2" t="s">
        <v>3082</v>
      </c>
      <c r="C1047" s="2" t="s">
        <v>65</v>
      </c>
      <c r="D1047" s="2" t="s">
        <v>3083</v>
      </c>
      <c r="E1047" s="3">
        <v>42321</v>
      </c>
      <c r="F1047">
        <f t="shared" si="32"/>
        <v>11</v>
      </c>
      <c r="G1047">
        <f t="shared" si="33"/>
        <v>2015</v>
      </c>
    </row>
    <row r="1048" spans="1:7" x14ac:dyDescent="0.25">
      <c r="A1048" s="2" t="s">
        <v>3084</v>
      </c>
      <c r="B1048" s="2" t="s">
        <v>3085</v>
      </c>
      <c r="C1048" s="2" t="s">
        <v>3086</v>
      </c>
      <c r="D1048" s="2" t="s">
        <v>930</v>
      </c>
      <c r="E1048" s="3">
        <v>42321</v>
      </c>
      <c r="F1048">
        <f t="shared" si="32"/>
        <v>11</v>
      </c>
      <c r="G1048">
        <f t="shared" si="33"/>
        <v>2015</v>
      </c>
    </row>
    <row r="1049" spans="1:7" x14ac:dyDescent="0.25">
      <c r="A1049" s="2" t="s">
        <v>3087</v>
      </c>
      <c r="B1049" s="2" t="s">
        <v>3088</v>
      </c>
      <c r="C1049" s="2" t="s">
        <v>1579</v>
      </c>
      <c r="D1049" s="2" t="s">
        <v>3089</v>
      </c>
      <c r="E1049" s="3">
        <v>42319</v>
      </c>
      <c r="F1049">
        <f t="shared" si="32"/>
        <v>11</v>
      </c>
      <c r="G1049">
        <f t="shared" si="33"/>
        <v>2015</v>
      </c>
    </row>
    <row r="1050" spans="1:7" x14ac:dyDescent="0.25">
      <c r="A1050" s="2" t="s">
        <v>1907</v>
      </c>
      <c r="B1050" s="2" t="s">
        <v>3090</v>
      </c>
      <c r="C1050" s="2" t="s">
        <v>437</v>
      </c>
      <c r="D1050" s="2" t="s">
        <v>3091</v>
      </c>
      <c r="E1050" s="3">
        <v>42319</v>
      </c>
      <c r="F1050">
        <f t="shared" si="32"/>
        <v>11</v>
      </c>
      <c r="G1050">
        <f t="shared" si="33"/>
        <v>2015</v>
      </c>
    </row>
    <row r="1051" spans="1:7" x14ac:dyDescent="0.25">
      <c r="A1051" s="2" t="s">
        <v>2531</v>
      </c>
      <c r="B1051" s="2" t="s">
        <v>3092</v>
      </c>
      <c r="C1051" s="2" t="s">
        <v>3093</v>
      </c>
      <c r="D1051" s="2" t="s">
        <v>141</v>
      </c>
      <c r="E1051" s="3">
        <v>42318</v>
      </c>
      <c r="F1051">
        <f t="shared" si="32"/>
        <v>11</v>
      </c>
      <c r="G1051">
        <f t="shared" si="33"/>
        <v>2015</v>
      </c>
    </row>
    <row r="1052" spans="1:7" x14ac:dyDescent="0.25">
      <c r="A1052" s="2" t="s">
        <v>2643</v>
      </c>
      <c r="B1052" s="2" t="s">
        <v>3094</v>
      </c>
      <c r="C1052" s="2" t="s">
        <v>3095</v>
      </c>
      <c r="D1052" s="2" t="s">
        <v>3096</v>
      </c>
      <c r="E1052" s="3">
        <v>42318</v>
      </c>
      <c r="F1052">
        <f t="shared" si="32"/>
        <v>11</v>
      </c>
      <c r="G1052">
        <f t="shared" si="33"/>
        <v>2015</v>
      </c>
    </row>
    <row r="1053" spans="1:7" x14ac:dyDescent="0.25">
      <c r="A1053" s="2" t="s">
        <v>447</v>
      </c>
      <c r="B1053" s="2" t="s">
        <v>262</v>
      </c>
      <c r="C1053" s="2" t="s">
        <v>140</v>
      </c>
      <c r="D1053" s="2" t="s">
        <v>3097</v>
      </c>
      <c r="E1053" s="3">
        <v>42317</v>
      </c>
      <c r="F1053">
        <f t="shared" si="32"/>
        <v>11</v>
      </c>
      <c r="G1053">
        <f t="shared" si="33"/>
        <v>2015</v>
      </c>
    </row>
    <row r="1054" spans="1:7" x14ac:dyDescent="0.25">
      <c r="A1054" s="2" t="s">
        <v>3098</v>
      </c>
      <c r="B1054" s="2" t="s">
        <v>1408</v>
      </c>
      <c r="C1054" s="2" t="s">
        <v>57</v>
      </c>
      <c r="D1054" s="2" t="s">
        <v>74</v>
      </c>
      <c r="E1054" s="3">
        <v>42317</v>
      </c>
      <c r="F1054">
        <f t="shared" si="32"/>
        <v>11</v>
      </c>
      <c r="G1054">
        <f t="shared" si="33"/>
        <v>2015</v>
      </c>
    </row>
    <row r="1055" spans="1:7" x14ac:dyDescent="0.25">
      <c r="A1055" s="2" t="s">
        <v>3099</v>
      </c>
      <c r="B1055" s="2" t="s">
        <v>3100</v>
      </c>
      <c r="C1055" s="2" t="s">
        <v>3101</v>
      </c>
      <c r="D1055" s="2" t="s">
        <v>47</v>
      </c>
      <c r="E1055" s="3">
        <v>42317</v>
      </c>
      <c r="F1055">
        <f t="shared" si="32"/>
        <v>11</v>
      </c>
      <c r="G1055">
        <f t="shared" si="33"/>
        <v>2015</v>
      </c>
    </row>
    <row r="1056" spans="1:7" ht="24" x14ac:dyDescent="0.25">
      <c r="A1056" s="2" t="s">
        <v>3102</v>
      </c>
      <c r="B1056" s="2" t="s">
        <v>232</v>
      </c>
      <c r="C1056" s="2" t="s">
        <v>42</v>
      </c>
      <c r="D1056" s="2" t="s">
        <v>3103</v>
      </c>
      <c r="E1056" s="3">
        <v>42317</v>
      </c>
      <c r="F1056">
        <f t="shared" si="32"/>
        <v>11</v>
      </c>
      <c r="G1056">
        <f t="shared" si="33"/>
        <v>2015</v>
      </c>
    </row>
    <row r="1057" spans="1:7" x14ac:dyDescent="0.25">
      <c r="A1057" s="2" t="s">
        <v>3104</v>
      </c>
      <c r="B1057" s="2" t="s">
        <v>3105</v>
      </c>
      <c r="C1057" s="2" t="s">
        <v>11</v>
      </c>
      <c r="D1057" s="2" t="s">
        <v>193</v>
      </c>
      <c r="E1057" s="3">
        <v>42317</v>
      </c>
      <c r="F1057">
        <f t="shared" si="32"/>
        <v>11</v>
      </c>
      <c r="G1057">
        <f t="shared" si="33"/>
        <v>2015</v>
      </c>
    </row>
    <row r="1058" spans="1:7" ht="36" x14ac:dyDescent="0.25">
      <c r="A1058" s="2" t="s">
        <v>788</v>
      </c>
      <c r="B1058" s="2" t="s">
        <v>3106</v>
      </c>
      <c r="C1058" s="2" t="s">
        <v>3107</v>
      </c>
      <c r="D1058" s="2" t="s">
        <v>1058</v>
      </c>
      <c r="E1058" s="3">
        <v>42317</v>
      </c>
      <c r="F1058">
        <f t="shared" si="32"/>
        <v>11</v>
      </c>
      <c r="G1058">
        <f t="shared" si="33"/>
        <v>2015</v>
      </c>
    </row>
    <row r="1059" spans="1:7" x14ac:dyDescent="0.25">
      <c r="A1059" s="2" t="s">
        <v>3108</v>
      </c>
      <c r="B1059" s="2" t="s">
        <v>3109</v>
      </c>
      <c r="C1059" s="2" t="s">
        <v>3110</v>
      </c>
      <c r="D1059" s="2" t="s">
        <v>3111</v>
      </c>
      <c r="E1059" s="3">
        <v>42316</v>
      </c>
      <c r="F1059">
        <f t="shared" si="32"/>
        <v>11</v>
      </c>
      <c r="G1059">
        <f t="shared" si="33"/>
        <v>2015</v>
      </c>
    </row>
    <row r="1060" spans="1:7" x14ac:dyDescent="0.25">
      <c r="A1060" s="2" t="s">
        <v>3112</v>
      </c>
      <c r="B1060" s="2" t="s">
        <v>223</v>
      </c>
      <c r="C1060" s="2" t="s">
        <v>42</v>
      </c>
      <c r="D1060" s="2" t="s">
        <v>3113</v>
      </c>
      <c r="E1060" s="3">
        <v>42316</v>
      </c>
      <c r="F1060">
        <f t="shared" si="32"/>
        <v>11</v>
      </c>
      <c r="G1060">
        <f t="shared" si="33"/>
        <v>2015</v>
      </c>
    </row>
    <row r="1061" spans="1:7" x14ac:dyDescent="0.25">
      <c r="A1061" s="2" t="s">
        <v>3114</v>
      </c>
      <c r="B1061" s="2" t="s">
        <v>3115</v>
      </c>
      <c r="C1061" s="2" t="s">
        <v>1480</v>
      </c>
      <c r="D1061" s="2" t="s">
        <v>3116</v>
      </c>
      <c r="E1061" s="3">
        <v>42314</v>
      </c>
      <c r="F1061">
        <f t="shared" si="32"/>
        <v>11</v>
      </c>
      <c r="G1061">
        <f t="shared" si="33"/>
        <v>2015</v>
      </c>
    </row>
    <row r="1062" spans="1:7" x14ac:dyDescent="0.25">
      <c r="A1062" s="2" t="s">
        <v>3117</v>
      </c>
      <c r="B1062" s="2" t="s">
        <v>684</v>
      </c>
      <c r="C1062" s="2" t="s">
        <v>117</v>
      </c>
      <c r="D1062" s="2" t="s">
        <v>1860</v>
      </c>
      <c r="E1062" s="3">
        <v>42313</v>
      </c>
      <c r="F1062">
        <f t="shared" si="32"/>
        <v>11</v>
      </c>
      <c r="G1062">
        <f t="shared" si="33"/>
        <v>2015</v>
      </c>
    </row>
    <row r="1063" spans="1:7" ht="24" x14ac:dyDescent="0.25">
      <c r="A1063" s="2" t="s">
        <v>3118</v>
      </c>
      <c r="B1063" s="2" t="s">
        <v>1459</v>
      </c>
      <c r="C1063" s="2" t="s">
        <v>3119</v>
      </c>
      <c r="D1063" s="2" t="s">
        <v>3120</v>
      </c>
      <c r="E1063" s="3">
        <v>42313</v>
      </c>
      <c r="F1063">
        <f t="shared" si="32"/>
        <v>11</v>
      </c>
      <c r="G1063">
        <f t="shared" si="33"/>
        <v>2015</v>
      </c>
    </row>
    <row r="1064" spans="1:7" ht="24" x14ac:dyDescent="0.25">
      <c r="A1064" s="2" t="s">
        <v>3121</v>
      </c>
      <c r="B1064" s="2" t="s">
        <v>3122</v>
      </c>
      <c r="C1064" s="2" t="s">
        <v>3123</v>
      </c>
      <c r="D1064" s="2" t="s">
        <v>3124</v>
      </c>
      <c r="E1064" s="3">
        <v>42313</v>
      </c>
      <c r="F1064">
        <f t="shared" si="32"/>
        <v>11</v>
      </c>
      <c r="G1064">
        <f t="shared" si="33"/>
        <v>2015</v>
      </c>
    </row>
    <row r="1065" spans="1:7" ht="36" x14ac:dyDescent="0.25">
      <c r="A1065" s="2" t="s">
        <v>3125</v>
      </c>
      <c r="B1065" s="2" t="s">
        <v>1210</v>
      </c>
      <c r="C1065" s="2" t="s">
        <v>42</v>
      </c>
      <c r="D1065" s="2" t="s">
        <v>3126</v>
      </c>
      <c r="E1065" s="3">
        <v>42313</v>
      </c>
      <c r="F1065">
        <f t="shared" si="32"/>
        <v>11</v>
      </c>
      <c r="G1065">
        <f t="shared" si="33"/>
        <v>2015</v>
      </c>
    </row>
    <row r="1066" spans="1:7" x14ac:dyDescent="0.25">
      <c r="A1066" s="2" t="s">
        <v>565</v>
      </c>
      <c r="B1066" s="2" t="s">
        <v>3127</v>
      </c>
      <c r="C1066" s="2" t="s">
        <v>3128</v>
      </c>
      <c r="D1066" s="2" t="s">
        <v>3129</v>
      </c>
      <c r="E1066" s="3">
        <v>42311</v>
      </c>
      <c r="F1066">
        <f t="shared" si="32"/>
        <v>11</v>
      </c>
      <c r="G1066">
        <f t="shared" si="33"/>
        <v>2015</v>
      </c>
    </row>
    <row r="1067" spans="1:7" ht="24" x14ac:dyDescent="0.25">
      <c r="A1067" s="2" t="s">
        <v>3130</v>
      </c>
      <c r="B1067" s="2" t="s">
        <v>3131</v>
      </c>
      <c r="C1067" s="2" t="s">
        <v>576</v>
      </c>
      <c r="D1067" s="2" t="s">
        <v>3132</v>
      </c>
      <c r="E1067" s="3">
        <v>42311</v>
      </c>
      <c r="F1067">
        <f t="shared" si="32"/>
        <v>11</v>
      </c>
      <c r="G1067">
        <f t="shared" si="33"/>
        <v>2015</v>
      </c>
    </row>
    <row r="1068" spans="1:7" x14ac:dyDescent="0.25">
      <c r="A1068" s="2" t="s">
        <v>3133</v>
      </c>
      <c r="B1068" s="2" t="s">
        <v>3134</v>
      </c>
      <c r="C1068" s="2" t="s">
        <v>140</v>
      </c>
      <c r="D1068" s="2" t="s">
        <v>3071</v>
      </c>
      <c r="E1068" s="3">
        <v>42310</v>
      </c>
      <c r="F1068">
        <f t="shared" si="32"/>
        <v>11</v>
      </c>
      <c r="G1068">
        <f t="shared" si="33"/>
        <v>2015</v>
      </c>
    </row>
    <row r="1069" spans="1:7" x14ac:dyDescent="0.25">
      <c r="A1069" s="2" t="s">
        <v>1580</v>
      </c>
      <c r="B1069" s="2" t="s">
        <v>1441</v>
      </c>
      <c r="C1069" s="2" t="s">
        <v>11</v>
      </c>
      <c r="D1069" s="2" t="s">
        <v>3135</v>
      </c>
      <c r="E1069" s="3">
        <v>42307</v>
      </c>
      <c r="F1069">
        <f t="shared" si="32"/>
        <v>10</v>
      </c>
      <c r="G1069">
        <f t="shared" si="33"/>
        <v>2015</v>
      </c>
    </row>
    <row r="1070" spans="1:7" x14ac:dyDescent="0.25">
      <c r="A1070" s="2" t="s">
        <v>3136</v>
      </c>
      <c r="B1070" s="2" t="s">
        <v>3137</v>
      </c>
      <c r="C1070" s="2" t="s">
        <v>979</v>
      </c>
      <c r="D1070" s="2" t="s">
        <v>3138</v>
      </c>
      <c r="E1070" s="3">
        <v>42307</v>
      </c>
      <c r="F1070">
        <f t="shared" si="32"/>
        <v>10</v>
      </c>
      <c r="G1070">
        <f t="shared" si="33"/>
        <v>2015</v>
      </c>
    </row>
    <row r="1071" spans="1:7" x14ac:dyDescent="0.25">
      <c r="A1071" s="2" t="s">
        <v>3139</v>
      </c>
      <c r="B1071" s="2" t="s">
        <v>3140</v>
      </c>
      <c r="C1071" s="2" t="s">
        <v>140</v>
      </c>
      <c r="D1071" s="2" t="s">
        <v>3141</v>
      </c>
      <c r="E1071" s="3">
        <v>42307</v>
      </c>
      <c r="F1071">
        <f t="shared" si="32"/>
        <v>10</v>
      </c>
      <c r="G1071">
        <f t="shared" si="33"/>
        <v>2015</v>
      </c>
    </row>
    <row r="1072" spans="1:7" x14ac:dyDescent="0.25">
      <c r="A1072" s="2" t="s">
        <v>48</v>
      </c>
      <c r="B1072" s="2" t="s">
        <v>3142</v>
      </c>
      <c r="C1072" s="2" t="s">
        <v>3143</v>
      </c>
      <c r="D1072" s="2" t="s">
        <v>642</v>
      </c>
      <c r="E1072" s="3">
        <v>42307</v>
      </c>
      <c r="F1072">
        <f t="shared" si="32"/>
        <v>10</v>
      </c>
      <c r="G1072">
        <f t="shared" si="33"/>
        <v>2015</v>
      </c>
    </row>
    <row r="1073" spans="1:7" x14ac:dyDescent="0.25">
      <c r="A1073" s="2" t="s">
        <v>133</v>
      </c>
      <c r="B1073" s="2" t="s">
        <v>535</v>
      </c>
      <c r="C1073" s="2" t="s">
        <v>42</v>
      </c>
      <c r="D1073" s="2" t="s">
        <v>3144</v>
      </c>
      <c r="E1073" s="3">
        <v>42307</v>
      </c>
      <c r="F1073">
        <f t="shared" si="32"/>
        <v>10</v>
      </c>
      <c r="G1073">
        <f t="shared" si="33"/>
        <v>2015</v>
      </c>
    </row>
    <row r="1074" spans="1:7" x14ac:dyDescent="0.25">
      <c r="A1074" s="2" t="s">
        <v>3145</v>
      </c>
      <c r="B1074" s="2" t="s">
        <v>2724</v>
      </c>
      <c r="C1074" s="2" t="s">
        <v>65</v>
      </c>
      <c r="D1074" s="2" t="s">
        <v>3146</v>
      </c>
      <c r="E1074" s="3">
        <v>42306</v>
      </c>
      <c r="F1074">
        <f t="shared" si="32"/>
        <v>10</v>
      </c>
      <c r="G1074">
        <f t="shared" si="33"/>
        <v>2015</v>
      </c>
    </row>
    <row r="1075" spans="1:7" x14ac:dyDescent="0.25">
      <c r="A1075" s="2" t="s">
        <v>362</v>
      </c>
      <c r="B1075" s="2" t="s">
        <v>3147</v>
      </c>
      <c r="C1075" s="2" t="s">
        <v>3148</v>
      </c>
      <c r="D1075" s="2" t="s">
        <v>3149</v>
      </c>
      <c r="E1075" s="3">
        <v>42306</v>
      </c>
      <c r="F1075">
        <f t="shared" si="32"/>
        <v>10</v>
      </c>
      <c r="G1075">
        <f t="shared" si="33"/>
        <v>2015</v>
      </c>
    </row>
    <row r="1076" spans="1:7" x14ac:dyDescent="0.25">
      <c r="A1076" s="2" t="s">
        <v>3150</v>
      </c>
      <c r="B1076" s="2" t="s">
        <v>3151</v>
      </c>
      <c r="C1076" s="2" t="s">
        <v>1903</v>
      </c>
      <c r="D1076" s="2" t="s">
        <v>419</v>
      </c>
      <c r="E1076" s="3">
        <v>42306</v>
      </c>
      <c r="F1076">
        <f t="shared" si="32"/>
        <v>10</v>
      </c>
      <c r="G1076">
        <f t="shared" si="33"/>
        <v>2015</v>
      </c>
    </row>
    <row r="1077" spans="1:7" ht="24" x14ac:dyDescent="0.25">
      <c r="A1077" s="2" t="s">
        <v>3152</v>
      </c>
      <c r="B1077" s="2" t="s">
        <v>1326</v>
      </c>
      <c r="C1077" s="2" t="s">
        <v>3153</v>
      </c>
      <c r="D1077" s="2" t="s">
        <v>3154</v>
      </c>
      <c r="E1077" s="3">
        <v>42305</v>
      </c>
      <c r="F1077">
        <f t="shared" si="32"/>
        <v>10</v>
      </c>
      <c r="G1077">
        <f t="shared" si="33"/>
        <v>2015</v>
      </c>
    </row>
    <row r="1078" spans="1:7" x14ac:dyDescent="0.25">
      <c r="A1078" s="2" t="s">
        <v>3155</v>
      </c>
      <c r="B1078" s="2" t="s">
        <v>3156</v>
      </c>
      <c r="C1078" s="2" t="s">
        <v>3157</v>
      </c>
      <c r="D1078" s="2" t="s">
        <v>3158</v>
      </c>
      <c r="E1078" s="3">
        <v>42305</v>
      </c>
      <c r="F1078">
        <f t="shared" si="32"/>
        <v>10</v>
      </c>
      <c r="G1078">
        <f t="shared" si="33"/>
        <v>2015</v>
      </c>
    </row>
    <row r="1079" spans="1:7" x14ac:dyDescent="0.25">
      <c r="A1079" s="2" t="s">
        <v>3159</v>
      </c>
      <c r="B1079" s="2" t="s">
        <v>3160</v>
      </c>
      <c r="C1079" s="2" t="s">
        <v>23</v>
      </c>
      <c r="D1079" s="2" t="s">
        <v>365</v>
      </c>
      <c r="E1079" s="3">
        <v>42305</v>
      </c>
      <c r="F1079">
        <f t="shared" si="32"/>
        <v>10</v>
      </c>
      <c r="G1079">
        <f t="shared" si="33"/>
        <v>2015</v>
      </c>
    </row>
    <row r="1080" spans="1:7" x14ac:dyDescent="0.25">
      <c r="A1080" s="2" t="s">
        <v>1580</v>
      </c>
      <c r="B1080" s="2" t="s">
        <v>3161</v>
      </c>
      <c r="C1080" s="2" t="s">
        <v>3162</v>
      </c>
      <c r="D1080" s="2" t="s">
        <v>3163</v>
      </c>
      <c r="E1080" s="3">
        <v>42305</v>
      </c>
      <c r="F1080">
        <f t="shared" si="32"/>
        <v>10</v>
      </c>
      <c r="G1080">
        <f t="shared" si="33"/>
        <v>2015</v>
      </c>
    </row>
    <row r="1081" spans="1:7" x14ac:dyDescent="0.25">
      <c r="A1081" s="2" t="s">
        <v>3164</v>
      </c>
      <c r="B1081" s="2" t="s">
        <v>772</v>
      </c>
      <c r="C1081" s="2" t="s">
        <v>3165</v>
      </c>
      <c r="D1081" s="2" t="s">
        <v>3166</v>
      </c>
      <c r="E1081" s="3">
        <v>42304</v>
      </c>
      <c r="F1081">
        <f t="shared" si="32"/>
        <v>10</v>
      </c>
      <c r="G1081">
        <f t="shared" si="33"/>
        <v>2015</v>
      </c>
    </row>
    <row r="1082" spans="1:7" ht="24" x14ac:dyDescent="0.25">
      <c r="A1082" s="2" t="s">
        <v>3167</v>
      </c>
      <c r="B1082" s="2" t="s">
        <v>3168</v>
      </c>
      <c r="C1082" s="2" t="s">
        <v>3169</v>
      </c>
      <c r="D1082" s="2" t="s">
        <v>3170</v>
      </c>
      <c r="E1082" s="3">
        <v>42304</v>
      </c>
      <c r="F1082">
        <f t="shared" si="32"/>
        <v>10</v>
      </c>
      <c r="G1082">
        <f t="shared" si="33"/>
        <v>2015</v>
      </c>
    </row>
    <row r="1083" spans="1:7" ht="24" x14ac:dyDescent="0.25">
      <c r="A1083" s="2" t="s">
        <v>3171</v>
      </c>
      <c r="B1083" s="2" t="s">
        <v>3172</v>
      </c>
      <c r="C1083" s="2" t="s">
        <v>3173</v>
      </c>
      <c r="D1083" s="2" t="s">
        <v>3174</v>
      </c>
      <c r="E1083" s="3">
        <v>42304</v>
      </c>
      <c r="F1083">
        <f t="shared" si="32"/>
        <v>10</v>
      </c>
      <c r="G1083">
        <f t="shared" si="33"/>
        <v>2015</v>
      </c>
    </row>
    <row r="1084" spans="1:7" x14ac:dyDescent="0.25">
      <c r="A1084" s="2" t="s">
        <v>3175</v>
      </c>
      <c r="B1084" s="2" t="s">
        <v>3176</v>
      </c>
      <c r="C1084" s="2" t="s">
        <v>3177</v>
      </c>
      <c r="D1084" s="2" t="s">
        <v>450</v>
      </c>
      <c r="E1084" s="3">
        <v>42304</v>
      </c>
      <c r="F1084">
        <f t="shared" si="32"/>
        <v>10</v>
      </c>
      <c r="G1084">
        <f t="shared" si="33"/>
        <v>2015</v>
      </c>
    </row>
    <row r="1085" spans="1:7" x14ac:dyDescent="0.25">
      <c r="A1085" s="2" t="s">
        <v>3178</v>
      </c>
      <c r="B1085" s="2" t="s">
        <v>3179</v>
      </c>
      <c r="C1085" s="2" t="s">
        <v>3180</v>
      </c>
      <c r="D1085" s="2" t="s">
        <v>3181</v>
      </c>
      <c r="E1085" s="3">
        <v>42304</v>
      </c>
      <c r="F1085">
        <f t="shared" si="32"/>
        <v>10</v>
      </c>
      <c r="G1085">
        <f t="shared" si="33"/>
        <v>2015</v>
      </c>
    </row>
    <row r="1086" spans="1:7" x14ac:dyDescent="0.25">
      <c r="A1086" s="2" t="s">
        <v>3182</v>
      </c>
      <c r="B1086" s="2" t="s">
        <v>3183</v>
      </c>
      <c r="C1086" s="2" t="s">
        <v>351</v>
      </c>
      <c r="D1086" s="2" t="s">
        <v>3184</v>
      </c>
      <c r="E1086" s="3">
        <v>42303</v>
      </c>
      <c r="F1086">
        <f t="shared" si="32"/>
        <v>10</v>
      </c>
      <c r="G1086">
        <f t="shared" si="33"/>
        <v>2015</v>
      </c>
    </row>
    <row r="1087" spans="1:7" x14ac:dyDescent="0.25">
      <c r="A1087" s="2" t="s">
        <v>234</v>
      </c>
      <c r="B1087" s="2" t="s">
        <v>535</v>
      </c>
      <c r="C1087" s="2" t="s">
        <v>42</v>
      </c>
      <c r="D1087" s="2" t="s">
        <v>2835</v>
      </c>
      <c r="E1087" s="3">
        <v>42303</v>
      </c>
      <c r="F1087">
        <f t="shared" si="32"/>
        <v>10</v>
      </c>
      <c r="G1087">
        <f t="shared" si="33"/>
        <v>2015</v>
      </c>
    </row>
    <row r="1088" spans="1:7" x14ac:dyDescent="0.25">
      <c r="A1088" s="2" t="s">
        <v>1747</v>
      </c>
      <c r="B1088" s="2" t="s">
        <v>3185</v>
      </c>
      <c r="C1088" s="2" t="s">
        <v>3186</v>
      </c>
      <c r="D1088" s="2" t="s">
        <v>3187</v>
      </c>
      <c r="E1088" s="3">
        <v>42303</v>
      </c>
      <c r="F1088">
        <f t="shared" si="32"/>
        <v>10</v>
      </c>
      <c r="G1088">
        <f t="shared" si="33"/>
        <v>2015</v>
      </c>
    </row>
    <row r="1089" spans="1:7" x14ac:dyDescent="0.25">
      <c r="A1089" s="2" t="s">
        <v>3188</v>
      </c>
      <c r="B1089" s="2" t="s">
        <v>3189</v>
      </c>
      <c r="C1089" s="2" t="s">
        <v>57</v>
      </c>
      <c r="D1089" s="2" t="s">
        <v>3190</v>
      </c>
      <c r="E1089" s="3">
        <v>42303</v>
      </c>
      <c r="F1089">
        <f t="shared" si="32"/>
        <v>10</v>
      </c>
      <c r="G1089">
        <f t="shared" si="33"/>
        <v>2015</v>
      </c>
    </row>
    <row r="1090" spans="1:7" x14ac:dyDescent="0.25">
      <c r="A1090" s="2" t="s">
        <v>3191</v>
      </c>
      <c r="B1090" s="2" t="s">
        <v>3192</v>
      </c>
      <c r="C1090" s="2" t="s">
        <v>140</v>
      </c>
      <c r="D1090" s="2" t="s">
        <v>957</v>
      </c>
      <c r="E1090" s="3">
        <v>42303</v>
      </c>
      <c r="F1090">
        <f t="shared" si="32"/>
        <v>10</v>
      </c>
      <c r="G1090">
        <f t="shared" si="33"/>
        <v>2015</v>
      </c>
    </row>
    <row r="1091" spans="1:7" x14ac:dyDescent="0.25">
      <c r="A1091" s="2" t="s">
        <v>3193</v>
      </c>
      <c r="B1091" s="2" t="s">
        <v>3194</v>
      </c>
      <c r="C1091" s="2" t="s">
        <v>576</v>
      </c>
      <c r="D1091" s="2" t="s">
        <v>3015</v>
      </c>
      <c r="E1091" s="3">
        <v>42303</v>
      </c>
      <c r="F1091">
        <f t="shared" ref="F1091:F1154" si="34">MONTH(E1091)</f>
        <v>10</v>
      </c>
      <c r="G1091">
        <f t="shared" ref="G1091:G1154" si="35">YEAR(E1091)</f>
        <v>2015</v>
      </c>
    </row>
    <row r="1092" spans="1:7" ht="24" x14ac:dyDescent="0.25">
      <c r="A1092" s="2" t="s">
        <v>3195</v>
      </c>
      <c r="B1092" s="2" t="s">
        <v>3196</v>
      </c>
      <c r="C1092" s="2" t="s">
        <v>3197</v>
      </c>
      <c r="D1092" s="2" t="s">
        <v>3198</v>
      </c>
      <c r="E1092" s="3">
        <v>42303</v>
      </c>
      <c r="F1092">
        <f t="shared" si="34"/>
        <v>10</v>
      </c>
      <c r="G1092">
        <f t="shared" si="35"/>
        <v>2015</v>
      </c>
    </row>
    <row r="1093" spans="1:7" ht="24" x14ac:dyDescent="0.25">
      <c r="A1093" s="2" t="s">
        <v>3199</v>
      </c>
      <c r="B1093" s="2" t="s">
        <v>3200</v>
      </c>
      <c r="C1093" s="2" t="s">
        <v>42</v>
      </c>
      <c r="D1093" s="2" t="s">
        <v>3201</v>
      </c>
      <c r="E1093" s="3">
        <v>42303</v>
      </c>
      <c r="F1093">
        <f t="shared" si="34"/>
        <v>10</v>
      </c>
      <c r="G1093">
        <f t="shared" si="35"/>
        <v>2015</v>
      </c>
    </row>
    <row r="1094" spans="1:7" x14ac:dyDescent="0.25">
      <c r="A1094" s="2" t="s">
        <v>3202</v>
      </c>
      <c r="B1094" s="2" t="s">
        <v>68</v>
      </c>
      <c r="C1094" s="2" t="s">
        <v>117</v>
      </c>
      <c r="D1094" s="2" t="s">
        <v>3203</v>
      </c>
      <c r="E1094" s="3">
        <v>42302</v>
      </c>
      <c r="F1094">
        <f t="shared" si="34"/>
        <v>10</v>
      </c>
      <c r="G1094">
        <f t="shared" si="35"/>
        <v>2015</v>
      </c>
    </row>
    <row r="1095" spans="1:7" x14ac:dyDescent="0.25">
      <c r="A1095" s="2" t="s">
        <v>3204</v>
      </c>
      <c r="B1095" s="2" t="s">
        <v>147</v>
      </c>
      <c r="C1095" s="2" t="s">
        <v>3205</v>
      </c>
      <c r="D1095" s="2" t="s">
        <v>3206</v>
      </c>
      <c r="E1095" s="3">
        <v>42302</v>
      </c>
      <c r="F1095">
        <f t="shared" si="34"/>
        <v>10</v>
      </c>
      <c r="G1095">
        <f t="shared" si="35"/>
        <v>2015</v>
      </c>
    </row>
    <row r="1096" spans="1:7" ht="24" x14ac:dyDescent="0.25">
      <c r="A1096" s="2" t="s">
        <v>3207</v>
      </c>
      <c r="B1096" s="2" t="s">
        <v>3208</v>
      </c>
      <c r="C1096" s="2" t="s">
        <v>3209</v>
      </c>
      <c r="D1096" s="2" t="s">
        <v>3210</v>
      </c>
      <c r="E1096" s="3">
        <v>42302</v>
      </c>
      <c r="F1096">
        <f t="shared" si="34"/>
        <v>10</v>
      </c>
      <c r="G1096">
        <f t="shared" si="35"/>
        <v>2015</v>
      </c>
    </row>
    <row r="1097" spans="1:7" x14ac:dyDescent="0.25">
      <c r="A1097" s="2" t="s">
        <v>3211</v>
      </c>
      <c r="B1097" s="2" t="s">
        <v>3212</v>
      </c>
      <c r="C1097" s="2" t="s">
        <v>3213</v>
      </c>
      <c r="D1097" s="2" t="s">
        <v>3214</v>
      </c>
      <c r="E1097" s="3">
        <v>42302</v>
      </c>
      <c r="F1097">
        <f t="shared" si="34"/>
        <v>10</v>
      </c>
      <c r="G1097">
        <f t="shared" si="35"/>
        <v>2015</v>
      </c>
    </row>
    <row r="1098" spans="1:7" x14ac:dyDescent="0.25">
      <c r="A1098" s="2" t="s">
        <v>67</v>
      </c>
      <c r="B1098" s="2" t="s">
        <v>3215</v>
      </c>
      <c r="C1098" s="2" t="s">
        <v>2251</v>
      </c>
      <c r="D1098" s="2" t="s">
        <v>957</v>
      </c>
      <c r="E1098" s="3">
        <v>42302</v>
      </c>
      <c r="F1098">
        <f t="shared" si="34"/>
        <v>10</v>
      </c>
      <c r="G1098">
        <f t="shared" si="35"/>
        <v>2015</v>
      </c>
    </row>
    <row r="1099" spans="1:7" x14ac:dyDescent="0.25">
      <c r="A1099" s="2" t="s">
        <v>3216</v>
      </c>
      <c r="B1099" s="2" t="s">
        <v>3217</v>
      </c>
      <c r="C1099" s="2" t="s">
        <v>3218</v>
      </c>
      <c r="D1099" s="2" t="s">
        <v>1221</v>
      </c>
      <c r="E1099" s="3">
        <v>42302</v>
      </c>
      <c r="F1099">
        <f t="shared" si="34"/>
        <v>10</v>
      </c>
      <c r="G1099">
        <f t="shared" si="35"/>
        <v>2015</v>
      </c>
    </row>
    <row r="1100" spans="1:7" x14ac:dyDescent="0.25">
      <c r="A1100" s="2" t="s">
        <v>403</v>
      </c>
      <c r="B1100" s="2" t="s">
        <v>3219</v>
      </c>
      <c r="C1100" s="2" t="s">
        <v>3220</v>
      </c>
      <c r="D1100" s="2" t="s">
        <v>3221</v>
      </c>
      <c r="E1100" s="3">
        <v>42302</v>
      </c>
      <c r="F1100">
        <f t="shared" si="34"/>
        <v>10</v>
      </c>
      <c r="G1100">
        <f t="shared" si="35"/>
        <v>2015</v>
      </c>
    </row>
    <row r="1101" spans="1:7" x14ac:dyDescent="0.25">
      <c r="A1101" s="2" t="s">
        <v>294</v>
      </c>
      <c r="B1101" s="2" t="s">
        <v>1326</v>
      </c>
      <c r="C1101" s="2" t="s">
        <v>117</v>
      </c>
      <c r="D1101" s="2" t="s">
        <v>74</v>
      </c>
      <c r="E1101" s="3">
        <v>42301</v>
      </c>
      <c r="F1101">
        <f t="shared" si="34"/>
        <v>10</v>
      </c>
      <c r="G1101">
        <f t="shared" si="35"/>
        <v>2015</v>
      </c>
    </row>
    <row r="1102" spans="1:7" x14ac:dyDescent="0.25">
      <c r="A1102" s="2" t="s">
        <v>679</v>
      </c>
      <c r="B1102" s="2" t="s">
        <v>3222</v>
      </c>
      <c r="C1102" s="2" t="s">
        <v>3223</v>
      </c>
      <c r="D1102" s="2" t="s">
        <v>3224</v>
      </c>
      <c r="E1102" s="3">
        <v>42301</v>
      </c>
      <c r="F1102">
        <f t="shared" si="34"/>
        <v>10</v>
      </c>
      <c r="G1102">
        <f t="shared" si="35"/>
        <v>2015</v>
      </c>
    </row>
    <row r="1103" spans="1:7" ht="24" x14ac:dyDescent="0.25">
      <c r="A1103" s="2" t="s">
        <v>1337</v>
      </c>
      <c r="B1103" s="2" t="s">
        <v>3225</v>
      </c>
      <c r="C1103" s="2" t="s">
        <v>3226</v>
      </c>
      <c r="D1103" s="2" t="s">
        <v>3227</v>
      </c>
      <c r="E1103" s="3">
        <v>42301</v>
      </c>
      <c r="F1103">
        <f t="shared" si="34"/>
        <v>10</v>
      </c>
      <c r="G1103">
        <f t="shared" si="35"/>
        <v>2015</v>
      </c>
    </row>
    <row r="1104" spans="1:7" x14ac:dyDescent="0.25">
      <c r="A1104" s="2" t="s">
        <v>1175</v>
      </c>
      <c r="B1104" s="2" t="s">
        <v>1282</v>
      </c>
      <c r="C1104" s="2" t="s">
        <v>27</v>
      </c>
      <c r="D1104" s="2" t="s">
        <v>357</v>
      </c>
      <c r="E1104" s="3">
        <v>42300</v>
      </c>
      <c r="F1104">
        <f t="shared" si="34"/>
        <v>10</v>
      </c>
      <c r="G1104">
        <f t="shared" si="35"/>
        <v>2015</v>
      </c>
    </row>
    <row r="1105" spans="1:7" x14ac:dyDescent="0.25">
      <c r="A1105" s="2" t="s">
        <v>3228</v>
      </c>
      <c r="B1105" s="2" t="s">
        <v>3229</v>
      </c>
      <c r="C1105" s="2" t="s">
        <v>3230</v>
      </c>
      <c r="D1105" s="2" t="s">
        <v>3231</v>
      </c>
      <c r="E1105" s="3">
        <v>42300</v>
      </c>
      <c r="F1105">
        <f t="shared" si="34"/>
        <v>10</v>
      </c>
      <c r="G1105">
        <f t="shared" si="35"/>
        <v>2015</v>
      </c>
    </row>
    <row r="1106" spans="1:7" x14ac:dyDescent="0.25">
      <c r="A1106" s="2" t="s">
        <v>2109</v>
      </c>
      <c r="B1106" s="2" t="s">
        <v>3232</v>
      </c>
      <c r="C1106" s="2" t="s">
        <v>3233</v>
      </c>
      <c r="D1106" s="2" t="s">
        <v>3234</v>
      </c>
      <c r="E1106" s="3">
        <v>42298</v>
      </c>
      <c r="F1106">
        <f t="shared" si="34"/>
        <v>10</v>
      </c>
      <c r="G1106">
        <f t="shared" si="35"/>
        <v>2015</v>
      </c>
    </row>
    <row r="1107" spans="1:7" x14ac:dyDescent="0.25">
      <c r="A1107" s="2" t="s">
        <v>3235</v>
      </c>
      <c r="B1107" s="2" t="s">
        <v>3236</v>
      </c>
      <c r="C1107" s="2" t="s">
        <v>846</v>
      </c>
      <c r="D1107" s="2" t="s">
        <v>664</v>
      </c>
      <c r="E1107" s="3">
        <v>42296</v>
      </c>
      <c r="F1107">
        <f t="shared" si="34"/>
        <v>10</v>
      </c>
      <c r="G1107">
        <f t="shared" si="35"/>
        <v>2015</v>
      </c>
    </row>
    <row r="1108" spans="1:7" x14ac:dyDescent="0.25">
      <c r="A1108" s="2" t="s">
        <v>403</v>
      </c>
      <c r="B1108" s="2" t="s">
        <v>3237</v>
      </c>
      <c r="C1108" s="2" t="s">
        <v>1903</v>
      </c>
      <c r="D1108" s="2" t="s">
        <v>3238</v>
      </c>
      <c r="E1108" s="3">
        <v>42296</v>
      </c>
      <c r="F1108">
        <f t="shared" si="34"/>
        <v>10</v>
      </c>
      <c r="G1108">
        <f t="shared" si="35"/>
        <v>2015</v>
      </c>
    </row>
    <row r="1109" spans="1:7" x14ac:dyDescent="0.25">
      <c r="A1109" s="2" t="s">
        <v>2975</v>
      </c>
      <c r="B1109" s="2" t="s">
        <v>3239</v>
      </c>
      <c r="C1109" s="2" t="s">
        <v>3240</v>
      </c>
      <c r="D1109" s="2" t="s">
        <v>502</v>
      </c>
      <c r="E1109" s="3">
        <v>42296</v>
      </c>
      <c r="F1109">
        <f t="shared" si="34"/>
        <v>10</v>
      </c>
      <c r="G1109">
        <f t="shared" si="35"/>
        <v>2015</v>
      </c>
    </row>
    <row r="1110" spans="1:7" ht="24" x14ac:dyDescent="0.25">
      <c r="A1110" s="2" t="s">
        <v>1114</v>
      </c>
      <c r="B1110" s="2" t="s">
        <v>531</v>
      </c>
      <c r="C1110" s="2" t="s">
        <v>3241</v>
      </c>
      <c r="D1110" s="2" t="s">
        <v>3242</v>
      </c>
      <c r="E1110" s="3">
        <v>42296</v>
      </c>
      <c r="F1110">
        <f t="shared" si="34"/>
        <v>10</v>
      </c>
      <c r="G1110">
        <f t="shared" si="35"/>
        <v>2015</v>
      </c>
    </row>
    <row r="1111" spans="1:7" x14ac:dyDescent="0.25">
      <c r="A1111" s="2" t="s">
        <v>3243</v>
      </c>
      <c r="B1111" s="2" t="s">
        <v>3244</v>
      </c>
      <c r="C1111" s="2" t="s">
        <v>3245</v>
      </c>
      <c r="D1111" s="2" t="s">
        <v>3246</v>
      </c>
      <c r="E1111" s="3">
        <v>42296</v>
      </c>
      <c r="F1111">
        <f t="shared" si="34"/>
        <v>10</v>
      </c>
      <c r="G1111">
        <f t="shared" si="35"/>
        <v>2015</v>
      </c>
    </row>
    <row r="1112" spans="1:7" ht="24" x14ac:dyDescent="0.25">
      <c r="A1112" s="2" t="s">
        <v>3247</v>
      </c>
      <c r="B1112" s="2" t="s">
        <v>3248</v>
      </c>
      <c r="C1112" s="2" t="s">
        <v>42</v>
      </c>
      <c r="D1112" s="2" t="s">
        <v>3249</v>
      </c>
      <c r="E1112" s="3">
        <v>42295</v>
      </c>
      <c r="F1112">
        <f t="shared" si="34"/>
        <v>10</v>
      </c>
      <c r="G1112">
        <f t="shared" si="35"/>
        <v>2015</v>
      </c>
    </row>
    <row r="1113" spans="1:7" x14ac:dyDescent="0.25">
      <c r="A1113" s="2" t="s">
        <v>3250</v>
      </c>
      <c r="B1113" s="2" t="s">
        <v>1210</v>
      </c>
      <c r="C1113" s="2" t="s">
        <v>3251</v>
      </c>
      <c r="D1113" s="2" t="s">
        <v>1221</v>
      </c>
      <c r="E1113" s="3">
        <v>42295</v>
      </c>
      <c r="F1113">
        <f t="shared" si="34"/>
        <v>10</v>
      </c>
      <c r="G1113">
        <f t="shared" si="35"/>
        <v>2015</v>
      </c>
    </row>
    <row r="1114" spans="1:7" x14ac:dyDescent="0.25">
      <c r="A1114" s="2" t="s">
        <v>3252</v>
      </c>
      <c r="B1114" s="2" t="s">
        <v>3253</v>
      </c>
      <c r="C1114" s="2" t="s">
        <v>140</v>
      </c>
      <c r="D1114" s="2" t="s">
        <v>3254</v>
      </c>
      <c r="E1114" s="3">
        <v>42295</v>
      </c>
      <c r="F1114">
        <f t="shared" si="34"/>
        <v>10</v>
      </c>
      <c r="G1114">
        <f t="shared" si="35"/>
        <v>2015</v>
      </c>
    </row>
    <row r="1115" spans="1:7" x14ac:dyDescent="0.25">
      <c r="A1115" s="2" t="s">
        <v>294</v>
      </c>
      <c r="B1115" s="2" t="s">
        <v>1436</v>
      </c>
      <c r="C1115" s="2" t="s">
        <v>3255</v>
      </c>
      <c r="D1115" s="2" t="s">
        <v>3256</v>
      </c>
      <c r="E1115" s="3">
        <v>42294</v>
      </c>
      <c r="F1115">
        <f t="shared" si="34"/>
        <v>10</v>
      </c>
      <c r="G1115">
        <f t="shared" si="35"/>
        <v>2015</v>
      </c>
    </row>
    <row r="1116" spans="1:7" ht="24" x14ac:dyDescent="0.25">
      <c r="A1116" s="2" t="s">
        <v>3257</v>
      </c>
      <c r="B1116" s="2" t="s">
        <v>3258</v>
      </c>
      <c r="C1116" s="2" t="s">
        <v>3259</v>
      </c>
      <c r="D1116" s="2" t="s">
        <v>3260</v>
      </c>
      <c r="E1116" s="3">
        <v>42293</v>
      </c>
      <c r="F1116">
        <f t="shared" si="34"/>
        <v>10</v>
      </c>
      <c r="G1116">
        <f t="shared" si="35"/>
        <v>2015</v>
      </c>
    </row>
    <row r="1117" spans="1:7" ht="24" x14ac:dyDescent="0.25">
      <c r="A1117" s="2" t="s">
        <v>424</v>
      </c>
      <c r="B1117" s="2" t="s">
        <v>3261</v>
      </c>
      <c r="C1117" s="2" t="s">
        <v>140</v>
      </c>
      <c r="D1117" s="2" t="s">
        <v>3262</v>
      </c>
      <c r="E1117" s="3">
        <v>42293</v>
      </c>
      <c r="F1117">
        <f t="shared" si="34"/>
        <v>10</v>
      </c>
      <c r="G1117">
        <f t="shared" si="35"/>
        <v>2015</v>
      </c>
    </row>
    <row r="1118" spans="1:7" ht="24" x14ac:dyDescent="0.25">
      <c r="A1118" s="2" t="s">
        <v>3263</v>
      </c>
      <c r="B1118" s="2" t="s">
        <v>3264</v>
      </c>
      <c r="C1118" s="2" t="s">
        <v>3265</v>
      </c>
      <c r="D1118" s="2" t="s">
        <v>3266</v>
      </c>
      <c r="E1118" s="3">
        <v>42293</v>
      </c>
      <c r="F1118">
        <f t="shared" si="34"/>
        <v>10</v>
      </c>
      <c r="G1118">
        <f t="shared" si="35"/>
        <v>2015</v>
      </c>
    </row>
    <row r="1119" spans="1:7" x14ac:dyDescent="0.25">
      <c r="A1119" s="2" t="s">
        <v>3267</v>
      </c>
      <c r="B1119" s="2" t="s">
        <v>3268</v>
      </c>
      <c r="C1119" s="2" t="s">
        <v>2102</v>
      </c>
      <c r="D1119" s="2" t="s">
        <v>365</v>
      </c>
      <c r="E1119" s="3">
        <v>42292</v>
      </c>
      <c r="F1119">
        <f t="shared" si="34"/>
        <v>10</v>
      </c>
      <c r="G1119">
        <f t="shared" si="35"/>
        <v>2015</v>
      </c>
    </row>
    <row r="1120" spans="1:7" x14ac:dyDescent="0.25">
      <c r="A1120" s="2" t="s">
        <v>513</v>
      </c>
      <c r="B1120" s="2" t="s">
        <v>105</v>
      </c>
      <c r="C1120" s="2" t="s">
        <v>3269</v>
      </c>
      <c r="D1120" s="2" t="s">
        <v>141</v>
      </c>
      <c r="E1120" s="3">
        <v>42292</v>
      </c>
      <c r="F1120">
        <f t="shared" si="34"/>
        <v>10</v>
      </c>
      <c r="G1120">
        <f t="shared" si="35"/>
        <v>2015</v>
      </c>
    </row>
    <row r="1121" spans="1:7" x14ac:dyDescent="0.25">
      <c r="A1121" s="2" t="s">
        <v>3270</v>
      </c>
      <c r="B1121" s="2" t="s">
        <v>3271</v>
      </c>
      <c r="C1121" s="2" t="s">
        <v>1903</v>
      </c>
      <c r="D1121" s="2" t="s">
        <v>3272</v>
      </c>
      <c r="E1121" s="3">
        <v>42291</v>
      </c>
      <c r="F1121">
        <f t="shared" si="34"/>
        <v>10</v>
      </c>
      <c r="G1121">
        <f t="shared" si="35"/>
        <v>2015</v>
      </c>
    </row>
    <row r="1122" spans="1:7" x14ac:dyDescent="0.25">
      <c r="A1122" s="2" t="s">
        <v>3273</v>
      </c>
      <c r="B1122" s="2" t="s">
        <v>1055</v>
      </c>
      <c r="C1122" s="2" t="s">
        <v>576</v>
      </c>
      <c r="D1122" s="2" t="s">
        <v>3274</v>
      </c>
      <c r="E1122" s="3">
        <v>42291</v>
      </c>
      <c r="F1122">
        <f t="shared" si="34"/>
        <v>10</v>
      </c>
      <c r="G1122">
        <f t="shared" si="35"/>
        <v>2015</v>
      </c>
    </row>
    <row r="1123" spans="1:7" x14ac:dyDescent="0.25">
      <c r="A1123" s="2" t="s">
        <v>3275</v>
      </c>
      <c r="B1123" s="2" t="s">
        <v>3276</v>
      </c>
      <c r="C1123" s="2" t="s">
        <v>3277</v>
      </c>
      <c r="D1123" s="2" t="s">
        <v>3278</v>
      </c>
      <c r="E1123" s="3">
        <v>42291</v>
      </c>
      <c r="F1123">
        <f t="shared" si="34"/>
        <v>10</v>
      </c>
      <c r="G1123">
        <f t="shared" si="35"/>
        <v>2015</v>
      </c>
    </row>
    <row r="1124" spans="1:7" x14ac:dyDescent="0.25">
      <c r="A1124" s="2" t="s">
        <v>3279</v>
      </c>
      <c r="B1124" s="2" t="s">
        <v>1032</v>
      </c>
      <c r="C1124" s="2" t="s">
        <v>247</v>
      </c>
      <c r="D1124" s="2" t="s">
        <v>3280</v>
      </c>
      <c r="E1124" s="3">
        <v>42291</v>
      </c>
      <c r="F1124">
        <f t="shared" si="34"/>
        <v>10</v>
      </c>
      <c r="G1124">
        <f t="shared" si="35"/>
        <v>2015</v>
      </c>
    </row>
    <row r="1125" spans="1:7" x14ac:dyDescent="0.25">
      <c r="A1125" s="2" t="s">
        <v>3281</v>
      </c>
      <c r="B1125" s="2" t="s">
        <v>3282</v>
      </c>
      <c r="C1125" s="2" t="s">
        <v>3283</v>
      </c>
      <c r="D1125" s="2" t="s">
        <v>3284</v>
      </c>
      <c r="E1125" s="3">
        <v>42291</v>
      </c>
      <c r="F1125">
        <f t="shared" si="34"/>
        <v>10</v>
      </c>
      <c r="G1125">
        <f t="shared" si="35"/>
        <v>2015</v>
      </c>
    </row>
    <row r="1126" spans="1:7" x14ac:dyDescent="0.25">
      <c r="A1126" s="2" t="s">
        <v>2497</v>
      </c>
      <c r="B1126" s="2" t="s">
        <v>3285</v>
      </c>
      <c r="C1126" s="2" t="s">
        <v>3286</v>
      </c>
      <c r="D1126" s="2" t="s">
        <v>3287</v>
      </c>
      <c r="E1126" s="3">
        <v>42291</v>
      </c>
      <c r="F1126">
        <f t="shared" si="34"/>
        <v>10</v>
      </c>
      <c r="G1126">
        <f t="shared" si="35"/>
        <v>2015</v>
      </c>
    </row>
    <row r="1127" spans="1:7" x14ac:dyDescent="0.25">
      <c r="A1127" s="2" t="s">
        <v>1399</v>
      </c>
      <c r="B1127" s="2" t="s">
        <v>3288</v>
      </c>
      <c r="C1127" s="2" t="s">
        <v>1886</v>
      </c>
      <c r="D1127" s="2" t="s">
        <v>1529</v>
      </c>
      <c r="E1127" s="3">
        <v>42290</v>
      </c>
      <c r="F1127">
        <f t="shared" si="34"/>
        <v>10</v>
      </c>
      <c r="G1127">
        <f t="shared" si="35"/>
        <v>2015</v>
      </c>
    </row>
    <row r="1128" spans="1:7" x14ac:dyDescent="0.25">
      <c r="A1128" s="2" t="s">
        <v>835</v>
      </c>
      <c r="B1128" s="2" t="s">
        <v>381</v>
      </c>
      <c r="C1128" s="2" t="s">
        <v>3289</v>
      </c>
      <c r="D1128" s="2" t="s">
        <v>3290</v>
      </c>
      <c r="E1128" s="3">
        <v>42290</v>
      </c>
      <c r="F1128">
        <f t="shared" si="34"/>
        <v>10</v>
      </c>
      <c r="G1128">
        <f t="shared" si="35"/>
        <v>2015</v>
      </c>
    </row>
    <row r="1129" spans="1:7" x14ac:dyDescent="0.25">
      <c r="A1129" s="2" t="s">
        <v>3291</v>
      </c>
      <c r="B1129" s="2" t="s">
        <v>3292</v>
      </c>
      <c r="C1129" s="2" t="s">
        <v>3293</v>
      </c>
      <c r="D1129" s="2" t="s">
        <v>3294</v>
      </c>
      <c r="E1129" s="3">
        <v>42290</v>
      </c>
      <c r="F1129">
        <f t="shared" si="34"/>
        <v>10</v>
      </c>
      <c r="G1129">
        <f t="shared" si="35"/>
        <v>2015</v>
      </c>
    </row>
    <row r="1130" spans="1:7" x14ac:dyDescent="0.25">
      <c r="A1130" s="2" t="s">
        <v>2944</v>
      </c>
      <c r="B1130" s="2" t="s">
        <v>3295</v>
      </c>
      <c r="C1130" s="2" t="s">
        <v>3296</v>
      </c>
      <c r="D1130" s="2" t="s">
        <v>3297</v>
      </c>
      <c r="E1130" s="3">
        <v>42290</v>
      </c>
      <c r="F1130">
        <f t="shared" si="34"/>
        <v>10</v>
      </c>
      <c r="G1130">
        <f t="shared" si="35"/>
        <v>2015</v>
      </c>
    </row>
    <row r="1131" spans="1:7" x14ac:dyDescent="0.25">
      <c r="A1131" s="2" t="s">
        <v>3298</v>
      </c>
      <c r="B1131" s="2" t="s">
        <v>68</v>
      </c>
      <c r="C1131" s="2" t="s">
        <v>3299</v>
      </c>
      <c r="D1131" s="2" t="s">
        <v>3300</v>
      </c>
      <c r="E1131" s="3">
        <v>42290</v>
      </c>
      <c r="F1131">
        <f t="shared" si="34"/>
        <v>10</v>
      </c>
      <c r="G1131">
        <f t="shared" si="35"/>
        <v>2015</v>
      </c>
    </row>
    <row r="1132" spans="1:7" ht="24" x14ac:dyDescent="0.25">
      <c r="A1132" s="2" t="s">
        <v>1747</v>
      </c>
      <c r="B1132" s="2" t="s">
        <v>3301</v>
      </c>
      <c r="C1132" s="2" t="s">
        <v>501</v>
      </c>
      <c r="D1132" s="2" t="s">
        <v>3302</v>
      </c>
      <c r="E1132" s="3">
        <v>42290</v>
      </c>
      <c r="F1132">
        <f t="shared" si="34"/>
        <v>10</v>
      </c>
      <c r="G1132">
        <f t="shared" si="35"/>
        <v>2015</v>
      </c>
    </row>
    <row r="1133" spans="1:7" x14ac:dyDescent="0.25">
      <c r="A1133" s="2" t="s">
        <v>3303</v>
      </c>
      <c r="B1133" s="2" t="s">
        <v>3304</v>
      </c>
      <c r="C1133" s="2" t="s">
        <v>140</v>
      </c>
      <c r="D1133" s="2" t="s">
        <v>3071</v>
      </c>
      <c r="E1133" s="3">
        <v>42290</v>
      </c>
      <c r="F1133">
        <f t="shared" si="34"/>
        <v>10</v>
      </c>
      <c r="G1133">
        <f t="shared" si="35"/>
        <v>2015</v>
      </c>
    </row>
    <row r="1134" spans="1:7" x14ac:dyDescent="0.25">
      <c r="A1134" s="2" t="s">
        <v>2929</v>
      </c>
      <c r="B1134" s="2" t="s">
        <v>3305</v>
      </c>
      <c r="C1134" s="2" t="s">
        <v>3306</v>
      </c>
      <c r="D1134" s="2" t="s">
        <v>1298</v>
      </c>
      <c r="E1134" s="3">
        <v>42290</v>
      </c>
      <c r="F1134">
        <f t="shared" si="34"/>
        <v>10</v>
      </c>
      <c r="G1134">
        <f t="shared" si="35"/>
        <v>2015</v>
      </c>
    </row>
    <row r="1135" spans="1:7" x14ac:dyDescent="0.25">
      <c r="A1135" s="2" t="s">
        <v>2437</v>
      </c>
      <c r="B1135" s="2" t="s">
        <v>3307</v>
      </c>
      <c r="C1135" s="2" t="s">
        <v>846</v>
      </c>
      <c r="D1135" s="2" t="s">
        <v>664</v>
      </c>
      <c r="E1135" s="3">
        <v>42290</v>
      </c>
      <c r="F1135">
        <f t="shared" si="34"/>
        <v>10</v>
      </c>
      <c r="G1135">
        <f t="shared" si="35"/>
        <v>2015</v>
      </c>
    </row>
    <row r="1136" spans="1:7" ht="24" x14ac:dyDescent="0.25">
      <c r="A1136" s="2" t="s">
        <v>2933</v>
      </c>
      <c r="B1136" s="2" t="s">
        <v>3308</v>
      </c>
      <c r="C1136" s="2" t="s">
        <v>3309</v>
      </c>
      <c r="D1136" s="2" t="s">
        <v>3310</v>
      </c>
      <c r="E1136" s="3">
        <v>42290</v>
      </c>
      <c r="F1136">
        <f t="shared" si="34"/>
        <v>10</v>
      </c>
      <c r="G1136">
        <f t="shared" si="35"/>
        <v>2015</v>
      </c>
    </row>
    <row r="1137" spans="1:7" x14ac:dyDescent="0.25">
      <c r="A1137" s="2" t="s">
        <v>840</v>
      </c>
      <c r="B1137" s="2" t="s">
        <v>3311</v>
      </c>
      <c r="C1137" s="2" t="s">
        <v>2698</v>
      </c>
      <c r="D1137" s="2" t="s">
        <v>3312</v>
      </c>
      <c r="E1137" s="3">
        <v>42289</v>
      </c>
      <c r="F1137">
        <f t="shared" si="34"/>
        <v>10</v>
      </c>
      <c r="G1137">
        <f t="shared" si="35"/>
        <v>2015</v>
      </c>
    </row>
    <row r="1138" spans="1:7" x14ac:dyDescent="0.25">
      <c r="A1138" s="2" t="s">
        <v>3313</v>
      </c>
      <c r="B1138" s="2" t="s">
        <v>3314</v>
      </c>
      <c r="C1138" s="2" t="s">
        <v>3315</v>
      </c>
      <c r="D1138" s="2" t="s">
        <v>3316</v>
      </c>
      <c r="E1138" s="3">
        <v>42279</v>
      </c>
      <c r="F1138">
        <f t="shared" si="34"/>
        <v>10</v>
      </c>
      <c r="G1138">
        <f t="shared" si="35"/>
        <v>2015</v>
      </c>
    </row>
    <row r="1139" spans="1:7" x14ac:dyDescent="0.25">
      <c r="A1139" s="2" t="s">
        <v>3317</v>
      </c>
      <c r="B1139" s="2" t="s">
        <v>3318</v>
      </c>
      <c r="C1139" s="2" t="s">
        <v>3319</v>
      </c>
      <c r="D1139" s="2" t="s">
        <v>3320</v>
      </c>
      <c r="E1139" s="3">
        <v>42276</v>
      </c>
      <c r="F1139">
        <f t="shared" si="34"/>
        <v>9</v>
      </c>
      <c r="G1139">
        <f t="shared" si="35"/>
        <v>2015</v>
      </c>
    </row>
    <row r="1140" spans="1:7" x14ac:dyDescent="0.25">
      <c r="A1140" s="2" t="s">
        <v>2965</v>
      </c>
      <c r="B1140" s="2" t="s">
        <v>1458</v>
      </c>
      <c r="C1140" s="2" t="s">
        <v>1891</v>
      </c>
      <c r="D1140" s="2" t="s">
        <v>3321</v>
      </c>
      <c r="E1140" s="3">
        <v>42271</v>
      </c>
      <c r="F1140">
        <f t="shared" si="34"/>
        <v>9</v>
      </c>
      <c r="G1140">
        <f t="shared" si="35"/>
        <v>2015</v>
      </c>
    </row>
    <row r="1141" spans="1:7" x14ac:dyDescent="0.25">
      <c r="A1141" s="2" t="s">
        <v>3322</v>
      </c>
      <c r="B1141" s="2" t="s">
        <v>3323</v>
      </c>
      <c r="C1141" s="2" t="s">
        <v>3324</v>
      </c>
      <c r="D1141" s="2" t="s">
        <v>3325</v>
      </c>
      <c r="E1141" s="3">
        <v>42270</v>
      </c>
      <c r="F1141">
        <f t="shared" si="34"/>
        <v>9</v>
      </c>
      <c r="G1141">
        <f t="shared" si="35"/>
        <v>2015</v>
      </c>
    </row>
    <row r="1142" spans="1:7" x14ac:dyDescent="0.25">
      <c r="A1142" s="2" t="s">
        <v>3326</v>
      </c>
      <c r="B1142" s="2" t="s">
        <v>3327</v>
      </c>
      <c r="C1142" s="2" t="s">
        <v>3328</v>
      </c>
      <c r="D1142" s="2" t="s">
        <v>3329</v>
      </c>
      <c r="E1142" s="3">
        <v>42269</v>
      </c>
      <c r="F1142">
        <f t="shared" si="34"/>
        <v>9</v>
      </c>
      <c r="G1142">
        <f t="shared" si="35"/>
        <v>2015</v>
      </c>
    </row>
    <row r="1143" spans="1:7" x14ac:dyDescent="0.25">
      <c r="A1143" s="2" t="s">
        <v>3330</v>
      </c>
      <c r="B1143" s="2" t="s">
        <v>2094</v>
      </c>
      <c r="C1143" s="2" t="s">
        <v>837</v>
      </c>
      <c r="D1143" s="2" t="s">
        <v>141</v>
      </c>
      <c r="E1143" s="3">
        <v>42268</v>
      </c>
      <c r="F1143">
        <f t="shared" si="34"/>
        <v>9</v>
      </c>
      <c r="G1143">
        <f t="shared" si="35"/>
        <v>2015</v>
      </c>
    </row>
    <row r="1144" spans="1:7" ht="36" x14ac:dyDescent="0.25">
      <c r="A1144" s="2" t="s">
        <v>506</v>
      </c>
      <c r="B1144" s="2" t="s">
        <v>3331</v>
      </c>
      <c r="C1144" s="2" t="s">
        <v>3332</v>
      </c>
      <c r="D1144" s="2" t="s">
        <v>3333</v>
      </c>
      <c r="E1144" s="3">
        <v>42263</v>
      </c>
      <c r="F1144">
        <f t="shared" si="34"/>
        <v>9</v>
      </c>
      <c r="G1144">
        <f t="shared" si="35"/>
        <v>2015</v>
      </c>
    </row>
    <row r="1145" spans="1:7" ht="24" x14ac:dyDescent="0.25">
      <c r="A1145" s="2" t="s">
        <v>488</v>
      </c>
      <c r="B1145" s="2" t="s">
        <v>3334</v>
      </c>
      <c r="C1145" s="2" t="s">
        <v>2324</v>
      </c>
      <c r="D1145" s="2" t="s">
        <v>2554</v>
      </c>
      <c r="E1145" s="3">
        <v>42259</v>
      </c>
      <c r="F1145">
        <f t="shared" si="34"/>
        <v>9</v>
      </c>
      <c r="G1145">
        <f t="shared" si="35"/>
        <v>2015</v>
      </c>
    </row>
    <row r="1146" spans="1:7" x14ac:dyDescent="0.25">
      <c r="A1146" s="2" t="s">
        <v>2686</v>
      </c>
      <c r="B1146" s="2" t="s">
        <v>262</v>
      </c>
      <c r="C1146" s="2" t="s">
        <v>65</v>
      </c>
      <c r="D1146" s="2" t="s">
        <v>3335</v>
      </c>
      <c r="E1146" s="3">
        <v>42256</v>
      </c>
      <c r="F1146">
        <f t="shared" si="34"/>
        <v>9</v>
      </c>
      <c r="G1146">
        <f t="shared" si="35"/>
        <v>2015</v>
      </c>
    </row>
    <row r="1147" spans="1:7" x14ac:dyDescent="0.25">
      <c r="A1147" s="2" t="s">
        <v>2531</v>
      </c>
      <c r="B1147" s="2" t="s">
        <v>3336</v>
      </c>
      <c r="C1147" s="2"/>
      <c r="D1147" s="2"/>
      <c r="E1147" s="3">
        <v>42251</v>
      </c>
      <c r="F1147">
        <f t="shared" si="34"/>
        <v>9</v>
      </c>
      <c r="G1147">
        <f t="shared" si="35"/>
        <v>2015</v>
      </c>
    </row>
    <row r="1148" spans="1:7" x14ac:dyDescent="0.25">
      <c r="A1148" s="2" t="s">
        <v>370</v>
      </c>
      <c r="B1148" s="2" t="s">
        <v>2669</v>
      </c>
      <c r="C1148" s="2" t="s">
        <v>3337</v>
      </c>
      <c r="D1148" s="2" t="s">
        <v>3338</v>
      </c>
      <c r="E1148" s="3">
        <v>42251</v>
      </c>
      <c r="F1148">
        <f t="shared" si="34"/>
        <v>9</v>
      </c>
      <c r="G1148">
        <f t="shared" si="35"/>
        <v>2015</v>
      </c>
    </row>
    <row r="1149" spans="1:7" ht="24" x14ac:dyDescent="0.25">
      <c r="A1149" s="2" t="s">
        <v>812</v>
      </c>
      <c r="B1149" s="2" t="s">
        <v>3339</v>
      </c>
      <c r="C1149" s="2" t="s">
        <v>3340</v>
      </c>
      <c r="D1149" s="2" t="s">
        <v>3341</v>
      </c>
      <c r="E1149" s="3">
        <v>42250</v>
      </c>
      <c r="F1149">
        <f t="shared" si="34"/>
        <v>9</v>
      </c>
      <c r="G1149">
        <f t="shared" si="35"/>
        <v>2015</v>
      </c>
    </row>
    <row r="1150" spans="1:7" ht="24" x14ac:dyDescent="0.25">
      <c r="A1150" s="2" t="s">
        <v>3342</v>
      </c>
      <c r="B1150" s="2" t="s">
        <v>181</v>
      </c>
      <c r="C1150" s="2" t="s">
        <v>515</v>
      </c>
      <c r="D1150" s="2" t="s">
        <v>3343</v>
      </c>
      <c r="E1150" s="3">
        <v>42247</v>
      </c>
      <c r="F1150">
        <f t="shared" si="34"/>
        <v>8</v>
      </c>
      <c r="G1150">
        <f t="shared" si="35"/>
        <v>2015</v>
      </c>
    </row>
    <row r="1151" spans="1:7" ht="24" x14ac:dyDescent="0.25">
      <c r="A1151" s="2" t="s">
        <v>3344</v>
      </c>
      <c r="B1151" s="2" t="s">
        <v>2169</v>
      </c>
      <c r="C1151" s="2" t="s">
        <v>3345</v>
      </c>
      <c r="D1151" s="2" t="s">
        <v>3346</v>
      </c>
      <c r="E1151" s="3">
        <v>42246</v>
      </c>
      <c r="F1151">
        <f t="shared" si="34"/>
        <v>8</v>
      </c>
      <c r="G1151">
        <f t="shared" si="35"/>
        <v>2015</v>
      </c>
    </row>
    <row r="1152" spans="1:7" x14ac:dyDescent="0.25">
      <c r="A1152" s="2" t="s">
        <v>403</v>
      </c>
      <c r="B1152" s="2" t="s">
        <v>3347</v>
      </c>
      <c r="C1152" s="2" t="s">
        <v>3348</v>
      </c>
      <c r="D1152" s="2" t="s">
        <v>3349</v>
      </c>
      <c r="E1152" s="3">
        <v>42242</v>
      </c>
      <c r="F1152">
        <f t="shared" si="34"/>
        <v>8</v>
      </c>
      <c r="G1152">
        <f t="shared" si="35"/>
        <v>2015</v>
      </c>
    </row>
    <row r="1153" spans="1:7" x14ac:dyDescent="0.25">
      <c r="A1153" s="2" t="s">
        <v>3350</v>
      </c>
      <c r="B1153" s="2" t="s">
        <v>3351</v>
      </c>
      <c r="C1153" s="2" t="s">
        <v>3352</v>
      </c>
      <c r="D1153" s="2" t="s">
        <v>3353</v>
      </c>
      <c r="E1153" s="3">
        <v>42240</v>
      </c>
      <c r="F1153">
        <f t="shared" si="34"/>
        <v>8</v>
      </c>
      <c r="G1153">
        <f t="shared" si="35"/>
        <v>2015</v>
      </c>
    </row>
    <row r="1154" spans="1:7" ht="24" x14ac:dyDescent="0.25">
      <c r="A1154" s="2" t="s">
        <v>3298</v>
      </c>
      <c r="B1154" s="2" t="s">
        <v>3354</v>
      </c>
      <c r="C1154" s="2" t="s">
        <v>3355</v>
      </c>
      <c r="D1154" s="2" t="s">
        <v>3356</v>
      </c>
      <c r="E1154" s="3">
        <v>42240</v>
      </c>
      <c r="F1154">
        <f t="shared" si="34"/>
        <v>8</v>
      </c>
      <c r="G1154">
        <f t="shared" si="35"/>
        <v>2015</v>
      </c>
    </row>
    <row r="1155" spans="1:7" x14ac:dyDescent="0.25">
      <c r="A1155" s="2" t="s">
        <v>29</v>
      </c>
      <c r="B1155" s="2" t="s">
        <v>3357</v>
      </c>
      <c r="C1155" s="2" t="s">
        <v>3173</v>
      </c>
      <c r="D1155" s="2" t="s">
        <v>3358</v>
      </c>
      <c r="E1155" s="3">
        <v>42237</v>
      </c>
      <c r="F1155">
        <f t="shared" ref="F1155:F1218" si="36">MONTH(E1155)</f>
        <v>8</v>
      </c>
      <c r="G1155">
        <f t="shared" ref="G1155:G1218" si="37">YEAR(E1155)</f>
        <v>2015</v>
      </c>
    </row>
    <row r="1156" spans="1:7" x14ac:dyDescent="0.25">
      <c r="A1156" s="2" t="s">
        <v>3359</v>
      </c>
      <c r="B1156" s="2" t="s">
        <v>1338</v>
      </c>
      <c r="C1156" s="2" t="s">
        <v>3360</v>
      </c>
      <c r="D1156" s="2" t="s">
        <v>3361</v>
      </c>
      <c r="E1156" s="3">
        <v>42237</v>
      </c>
      <c r="F1156">
        <f t="shared" si="36"/>
        <v>8</v>
      </c>
      <c r="G1156">
        <f t="shared" si="37"/>
        <v>2015</v>
      </c>
    </row>
    <row r="1157" spans="1:7" x14ac:dyDescent="0.25">
      <c r="A1157" s="2" t="s">
        <v>2686</v>
      </c>
      <c r="B1157" s="2" t="s">
        <v>3362</v>
      </c>
      <c r="C1157" s="2" t="s">
        <v>440</v>
      </c>
      <c r="D1157" s="2" t="s">
        <v>3363</v>
      </c>
      <c r="E1157" s="3">
        <v>42236</v>
      </c>
      <c r="F1157">
        <f t="shared" si="36"/>
        <v>8</v>
      </c>
      <c r="G1157">
        <f t="shared" si="37"/>
        <v>2015</v>
      </c>
    </row>
    <row r="1158" spans="1:7" x14ac:dyDescent="0.25">
      <c r="A1158" s="2" t="s">
        <v>68</v>
      </c>
      <c r="B1158" s="2" t="s">
        <v>3364</v>
      </c>
      <c r="C1158" s="2" t="s">
        <v>1926</v>
      </c>
      <c r="D1158" s="2" t="s">
        <v>3365</v>
      </c>
      <c r="E1158" s="3">
        <v>42236</v>
      </c>
      <c r="F1158">
        <f t="shared" si="36"/>
        <v>8</v>
      </c>
      <c r="G1158">
        <f t="shared" si="37"/>
        <v>2015</v>
      </c>
    </row>
    <row r="1159" spans="1:7" x14ac:dyDescent="0.25">
      <c r="A1159" s="2" t="s">
        <v>3366</v>
      </c>
      <c r="B1159" s="2" t="s">
        <v>3367</v>
      </c>
      <c r="C1159" s="2" t="s">
        <v>3368</v>
      </c>
      <c r="D1159" s="2" t="s">
        <v>3369</v>
      </c>
      <c r="E1159" s="3">
        <v>42236</v>
      </c>
      <c r="F1159">
        <f t="shared" si="36"/>
        <v>8</v>
      </c>
      <c r="G1159">
        <f t="shared" si="37"/>
        <v>2015</v>
      </c>
    </row>
    <row r="1160" spans="1:7" x14ac:dyDescent="0.25">
      <c r="A1160" s="2" t="s">
        <v>3370</v>
      </c>
      <c r="B1160" s="2" t="s">
        <v>68</v>
      </c>
      <c r="C1160" s="2" t="s">
        <v>3371</v>
      </c>
      <c r="D1160" s="2" t="s">
        <v>3372</v>
      </c>
      <c r="E1160" s="3">
        <v>42236</v>
      </c>
      <c r="F1160">
        <f t="shared" si="36"/>
        <v>8</v>
      </c>
      <c r="G1160">
        <f t="shared" si="37"/>
        <v>2015</v>
      </c>
    </row>
    <row r="1161" spans="1:7" x14ac:dyDescent="0.25">
      <c r="A1161" s="2" t="s">
        <v>359</v>
      </c>
      <c r="B1161" s="2" t="s">
        <v>3373</v>
      </c>
      <c r="C1161" s="2" t="s">
        <v>3374</v>
      </c>
      <c r="D1161" s="2" t="s">
        <v>1890</v>
      </c>
      <c r="E1161" s="3">
        <v>42235</v>
      </c>
      <c r="F1161">
        <f t="shared" si="36"/>
        <v>8</v>
      </c>
      <c r="G1161">
        <f t="shared" si="37"/>
        <v>2015</v>
      </c>
    </row>
    <row r="1162" spans="1:7" ht="24" x14ac:dyDescent="0.25">
      <c r="A1162" s="2" t="s">
        <v>3375</v>
      </c>
      <c r="B1162" s="2" t="s">
        <v>3376</v>
      </c>
      <c r="C1162" s="2" t="s">
        <v>3377</v>
      </c>
      <c r="D1162" s="2" t="s">
        <v>3378</v>
      </c>
      <c r="E1162" s="3">
        <v>42235</v>
      </c>
      <c r="F1162">
        <f t="shared" si="36"/>
        <v>8</v>
      </c>
      <c r="G1162">
        <f t="shared" si="37"/>
        <v>2015</v>
      </c>
    </row>
    <row r="1163" spans="1:7" x14ac:dyDescent="0.25">
      <c r="A1163" s="2" t="s">
        <v>3379</v>
      </c>
      <c r="B1163" s="2" t="s">
        <v>3380</v>
      </c>
      <c r="C1163" s="2" t="s">
        <v>3381</v>
      </c>
      <c r="D1163" s="2" t="s">
        <v>3382</v>
      </c>
      <c r="E1163" s="3">
        <v>42235</v>
      </c>
      <c r="F1163">
        <f t="shared" si="36"/>
        <v>8</v>
      </c>
      <c r="G1163">
        <f t="shared" si="37"/>
        <v>2015</v>
      </c>
    </row>
    <row r="1164" spans="1:7" x14ac:dyDescent="0.25">
      <c r="A1164" s="2" t="s">
        <v>3383</v>
      </c>
      <c r="B1164" s="2" t="s">
        <v>3384</v>
      </c>
      <c r="C1164" s="2" t="s">
        <v>3385</v>
      </c>
      <c r="D1164" s="2" t="s">
        <v>1517</v>
      </c>
      <c r="E1164" s="3">
        <v>42235</v>
      </c>
      <c r="F1164">
        <f t="shared" si="36"/>
        <v>8</v>
      </c>
      <c r="G1164">
        <f t="shared" si="37"/>
        <v>2015</v>
      </c>
    </row>
    <row r="1165" spans="1:7" ht="24" x14ac:dyDescent="0.25">
      <c r="A1165" s="2" t="s">
        <v>231</v>
      </c>
      <c r="B1165" s="2" t="s">
        <v>105</v>
      </c>
      <c r="C1165" s="2" t="s">
        <v>3386</v>
      </c>
      <c r="D1165" s="2" t="s">
        <v>1009</v>
      </c>
      <c r="E1165" s="3">
        <v>42235</v>
      </c>
      <c r="F1165">
        <f t="shared" si="36"/>
        <v>8</v>
      </c>
      <c r="G1165">
        <f t="shared" si="37"/>
        <v>2015</v>
      </c>
    </row>
    <row r="1166" spans="1:7" x14ac:dyDescent="0.25">
      <c r="A1166" s="2" t="s">
        <v>3387</v>
      </c>
      <c r="B1166" s="2" t="s">
        <v>3388</v>
      </c>
      <c r="C1166" s="2" t="s">
        <v>3389</v>
      </c>
      <c r="D1166" s="2" t="s">
        <v>3390</v>
      </c>
      <c r="E1166" s="3">
        <v>42235</v>
      </c>
      <c r="F1166">
        <f t="shared" si="36"/>
        <v>8</v>
      </c>
      <c r="G1166">
        <f t="shared" si="37"/>
        <v>2015</v>
      </c>
    </row>
    <row r="1167" spans="1:7" x14ac:dyDescent="0.25">
      <c r="A1167" s="2" t="s">
        <v>249</v>
      </c>
      <c r="B1167" s="2" t="s">
        <v>3391</v>
      </c>
      <c r="C1167" s="2" t="s">
        <v>3392</v>
      </c>
      <c r="D1167" s="2" t="s">
        <v>3393</v>
      </c>
      <c r="E1167" s="3">
        <v>42235</v>
      </c>
      <c r="F1167">
        <f t="shared" si="36"/>
        <v>8</v>
      </c>
      <c r="G1167">
        <f t="shared" si="37"/>
        <v>2015</v>
      </c>
    </row>
    <row r="1168" spans="1:7" x14ac:dyDescent="0.25">
      <c r="A1168" s="2" t="s">
        <v>3394</v>
      </c>
      <c r="B1168" s="2" t="s">
        <v>841</v>
      </c>
      <c r="C1168" s="2" t="s">
        <v>3395</v>
      </c>
      <c r="D1168" s="2" t="s">
        <v>3396</v>
      </c>
      <c r="E1168" s="3">
        <v>42234</v>
      </c>
      <c r="F1168">
        <f t="shared" si="36"/>
        <v>8</v>
      </c>
      <c r="G1168">
        <f t="shared" si="37"/>
        <v>2015</v>
      </c>
    </row>
    <row r="1169" spans="1:7" x14ac:dyDescent="0.25">
      <c r="A1169" s="2" t="s">
        <v>3397</v>
      </c>
      <c r="B1169" s="2" t="s">
        <v>1789</v>
      </c>
      <c r="C1169" s="2" t="s">
        <v>3398</v>
      </c>
      <c r="D1169" s="2" t="s">
        <v>3399</v>
      </c>
      <c r="E1169" s="3">
        <v>42234</v>
      </c>
      <c r="F1169">
        <f t="shared" si="36"/>
        <v>8</v>
      </c>
      <c r="G1169">
        <f t="shared" si="37"/>
        <v>2015</v>
      </c>
    </row>
    <row r="1170" spans="1:7" ht="36" x14ac:dyDescent="0.25">
      <c r="A1170" s="2" t="s">
        <v>3400</v>
      </c>
      <c r="B1170" s="2" t="s">
        <v>3401</v>
      </c>
      <c r="C1170" s="2" t="s">
        <v>3402</v>
      </c>
      <c r="D1170" s="2" t="s">
        <v>3403</v>
      </c>
      <c r="E1170" s="3">
        <v>42234</v>
      </c>
      <c r="F1170">
        <f t="shared" si="36"/>
        <v>8</v>
      </c>
      <c r="G1170">
        <f t="shared" si="37"/>
        <v>2015</v>
      </c>
    </row>
    <row r="1171" spans="1:7" x14ac:dyDescent="0.25">
      <c r="A1171" s="2" t="s">
        <v>3404</v>
      </c>
      <c r="B1171" s="2" t="s">
        <v>2724</v>
      </c>
      <c r="C1171" s="2" t="s">
        <v>3405</v>
      </c>
      <c r="D1171" s="2" t="s">
        <v>3406</v>
      </c>
      <c r="E1171" s="3">
        <v>42233</v>
      </c>
      <c r="F1171">
        <f t="shared" si="36"/>
        <v>8</v>
      </c>
      <c r="G1171">
        <f t="shared" si="37"/>
        <v>2015</v>
      </c>
    </row>
    <row r="1172" spans="1:7" x14ac:dyDescent="0.25">
      <c r="A1172" s="2" t="s">
        <v>3407</v>
      </c>
      <c r="B1172" s="2" t="s">
        <v>3408</v>
      </c>
      <c r="C1172" s="2" t="s">
        <v>3409</v>
      </c>
      <c r="D1172" s="2" t="s">
        <v>1043</v>
      </c>
      <c r="E1172" s="3">
        <v>42233</v>
      </c>
      <c r="F1172">
        <f t="shared" si="36"/>
        <v>8</v>
      </c>
      <c r="G1172">
        <f t="shared" si="37"/>
        <v>2015</v>
      </c>
    </row>
    <row r="1173" spans="1:7" ht="24" x14ac:dyDescent="0.25">
      <c r="A1173" s="2" t="s">
        <v>3410</v>
      </c>
      <c r="B1173" s="2" t="s">
        <v>3411</v>
      </c>
      <c r="C1173" s="2" t="s">
        <v>3412</v>
      </c>
      <c r="D1173" s="2" t="s">
        <v>3413</v>
      </c>
      <c r="E1173" s="3">
        <v>42233</v>
      </c>
      <c r="F1173">
        <f t="shared" si="36"/>
        <v>8</v>
      </c>
      <c r="G1173">
        <f t="shared" si="37"/>
        <v>2015</v>
      </c>
    </row>
    <row r="1174" spans="1:7" x14ac:dyDescent="0.25">
      <c r="A1174" s="2" t="s">
        <v>3414</v>
      </c>
      <c r="B1174" s="2" t="s">
        <v>3415</v>
      </c>
      <c r="C1174" s="2" t="s">
        <v>3416</v>
      </c>
      <c r="D1174" s="2" t="s">
        <v>3417</v>
      </c>
      <c r="E1174" s="3">
        <v>42233</v>
      </c>
      <c r="F1174">
        <f t="shared" si="36"/>
        <v>8</v>
      </c>
      <c r="G1174">
        <f t="shared" si="37"/>
        <v>2015</v>
      </c>
    </row>
    <row r="1175" spans="1:7" x14ac:dyDescent="0.25">
      <c r="A1175" s="2" t="s">
        <v>3418</v>
      </c>
      <c r="B1175" s="2" t="s">
        <v>3419</v>
      </c>
      <c r="C1175" s="2" t="s">
        <v>3420</v>
      </c>
      <c r="D1175" s="2" t="s">
        <v>3421</v>
      </c>
      <c r="E1175" s="3">
        <v>42233</v>
      </c>
      <c r="F1175">
        <f t="shared" si="36"/>
        <v>8</v>
      </c>
      <c r="G1175">
        <f t="shared" si="37"/>
        <v>2015</v>
      </c>
    </row>
    <row r="1176" spans="1:7" x14ac:dyDescent="0.25">
      <c r="A1176" s="2" t="s">
        <v>3422</v>
      </c>
      <c r="B1176" s="2" t="s">
        <v>3423</v>
      </c>
      <c r="C1176" s="2" t="s">
        <v>3424</v>
      </c>
      <c r="D1176" s="2" t="s">
        <v>3423</v>
      </c>
      <c r="E1176" s="3">
        <v>42233</v>
      </c>
      <c r="F1176">
        <f t="shared" si="36"/>
        <v>8</v>
      </c>
      <c r="G1176">
        <f t="shared" si="37"/>
        <v>2015</v>
      </c>
    </row>
    <row r="1177" spans="1:7" x14ac:dyDescent="0.25">
      <c r="A1177" s="2" t="s">
        <v>3425</v>
      </c>
      <c r="B1177" s="2" t="s">
        <v>3426</v>
      </c>
      <c r="C1177" s="2" t="s">
        <v>3427</v>
      </c>
      <c r="D1177" s="2" t="s">
        <v>740</v>
      </c>
      <c r="E1177" s="3">
        <v>42233</v>
      </c>
      <c r="F1177">
        <f t="shared" si="36"/>
        <v>8</v>
      </c>
      <c r="G1177">
        <f t="shared" si="37"/>
        <v>2015</v>
      </c>
    </row>
    <row r="1178" spans="1:7" x14ac:dyDescent="0.25">
      <c r="A1178" s="2" t="s">
        <v>3428</v>
      </c>
      <c r="B1178" s="2" t="s">
        <v>3429</v>
      </c>
      <c r="C1178" s="2" t="s">
        <v>23</v>
      </c>
      <c r="D1178" s="2" t="s">
        <v>51</v>
      </c>
      <c r="E1178" s="3">
        <v>42233</v>
      </c>
      <c r="F1178">
        <f t="shared" si="36"/>
        <v>8</v>
      </c>
      <c r="G1178">
        <f t="shared" si="37"/>
        <v>2015</v>
      </c>
    </row>
    <row r="1179" spans="1:7" x14ac:dyDescent="0.25">
      <c r="A1179" s="2" t="s">
        <v>3430</v>
      </c>
      <c r="B1179" s="2" t="s">
        <v>232</v>
      </c>
      <c r="C1179" s="2" t="s">
        <v>3431</v>
      </c>
      <c r="D1179" s="2" t="s">
        <v>3432</v>
      </c>
      <c r="E1179" s="3">
        <v>42233</v>
      </c>
      <c r="F1179">
        <f t="shared" si="36"/>
        <v>8</v>
      </c>
      <c r="G1179">
        <f t="shared" si="37"/>
        <v>2015</v>
      </c>
    </row>
    <row r="1180" spans="1:7" x14ac:dyDescent="0.25">
      <c r="A1180" s="2" t="s">
        <v>3433</v>
      </c>
      <c r="B1180" s="2" t="s">
        <v>2423</v>
      </c>
      <c r="C1180" s="2" t="s">
        <v>405</v>
      </c>
      <c r="D1180" s="2" t="s">
        <v>3434</v>
      </c>
      <c r="E1180" s="3">
        <v>42233</v>
      </c>
      <c r="F1180">
        <f t="shared" si="36"/>
        <v>8</v>
      </c>
      <c r="G1180">
        <f t="shared" si="37"/>
        <v>2015</v>
      </c>
    </row>
    <row r="1181" spans="1:7" x14ac:dyDescent="0.25">
      <c r="A1181" s="2" t="s">
        <v>3435</v>
      </c>
      <c r="B1181" s="2" t="s">
        <v>3436</v>
      </c>
      <c r="C1181" s="2" t="s">
        <v>3437</v>
      </c>
      <c r="D1181" s="2" t="s">
        <v>3438</v>
      </c>
      <c r="E1181" s="3">
        <v>42233</v>
      </c>
      <c r="F1181">
        <f t="shared" si="36"/>
        <v>8</v>
      </c>
      <c r="G1181">
        <f t="shared" si="37"/>
        <v>2015</v>
      </c>
    </row>
    <row r="1182" spans="1:7" x14ac:dyDescent="0.25">
      <c r="A1182" s="2" t="s">
        <v>3439</v>
      </c>
      <c r="B1182" s="2" t="s">
        <v>3440</v>
      </c>
      <c r="C1182" s="2" t="s">
        <v>3441</v>
      </c>
      <c r="D1182" s="2" t="s">
        <v>3442</v>
      </c>
      <c r="E1182" s="3">
        <v>42232</v>
      </c>
      <c r="F1182">
        <f t="shared" si="36"/>
        <v>8</v>
      </c>
      <c r="G1182">
        <f t="shared" si="37"/>
        <v>2015</v>
      </c>
    </row>
    <row r="1183" spans="1:7" x14ac:dyDescent="0.25">
      <c r="A1183" s="2" t="s">
        <v>3443</v>
      </c>
      <c r="B1183" s="2" t="s">
        <v>3444</v>
      </c>
      <c r="C1183" s="2" t="s">
        <v>3445</v>
      </c>
      <c r="D1183" s="2" t="s">
        <v>3446</v>
      </c>
      <c r="E1183" s="3">
        <v>42232</v>
      </c>
      <c r="F1183">
        <f t="shared" si="36"/>
        <v>8</v>
      </c>
      <c r="G1183">
        <f t="shared" si="37"/>
        <v>2015</v>
      </c>
    </row>
    <row r="1184" spans="1:7" x14ac:dyDescent="0.25">
      <c r="A1184" s="2" t="s">
        <v>3447</v>
      </c>
      <c r="B1184" s="2" t="s">
        <v>3448</v>
      </c>
      <c r="C1184" s="2" t="s">
        <v>490</v>
      </c>
      <c r="D1184" s="2" t="s">
        <v>670</v>
      </c>
      <c r="E1184" s="3">
        <v>42232</v>
      </c>
      <c r="F1184">
        <f t="shared" si="36"/>
        <v>8</v>
      </c>
      <c r="G1184">
        <f t="shared" si="37"/>
        <v>2015</v>
      </c>
    </row>
    <row r="1185" spans="1:7" x14ac:dyDescent="0.25">
      <c r="A1185" s="2" t="s">
        <v>3449</v>
      </c>
      <c r="B1185" s="2" t="s">
        <v>1221</v>
      </c>
      <c r="C1185" s="2" t="s">
        <v>3450</v>
      </c>
      <c r="D1185" s="2" t="s">
        <v>502</v>
      </c>
      <c r="E1185" s="3">
        <v>42232</v>
      </c>
      <c r="F1185">
        <f t="shared" si="36"/>
        <v>8</v>
      </c>
      <c r="G1185">
        <f t="shared" si="37"/>
        <v>2015</v>
      </c>
    </row>
    <row r="1186" spans="1:7" ht="24" x14ac:dyDescent="0.25">
      <c r="A1186" s="2" t="s">
        <v>3451</v>
      </c>
      <c r="B1186" s="2" t="s">
        <v>425</v>
      </c>
      <c r="C1186" s="2" t="s">
        <v>3452</v>
      </c>
      <c r="D1186" s="2" t="s">
        <v>3453</v>
      </c>
      <c r="E1186" s="3">
        <v>42232</v>
      </c>
      <c r="F1186">
        <f t="shared" si="36"/>
        <v>8</v>
      </c>
      <c r="G1186">
        <f t="shared" si="37"/>
        <v>2015</v>
      </c>
    </row>
    <row r="1187" spans="1:7" x14ac:dyDescent="0.25">
      <c r="A1187" s="2" t="s">
        <v>2107</v>
      </c>
      <c r="B1187" s="2" t="s">
        <v>1021</v>
      </c>
      <c r="C1187" s="2" t="s">
        <v>3454</v>
      </c>
      <c r="D1187" s="2" t="s">
        <v>3455</v>
      </c>
      <c r="E1187" s="3">
        <v>42232</v>
      </c>
      <c r="F1187">
        <f t="shared" si="36"/>
        <v>8</v>
      </c>
      <c r="G1187">
        <f t="shared" si="37"/>
        <v>2015</v>
      </c>
    </row>
    <row r="1188" spans="1:7" x14ac:dyDescent="0.25">
      <c r="A1188" s="2" t="s">
        <v>3456</v>
      </c>
      <c r="B1188" s="2" t="s">
        <v>3457</v>
      </c>
      <c r="C1188" s="2" t="s">
        <v>3458</v>
      </c>
      <c r="D1188" s="2" t="s">
        <v>3459</v>
      </c>
      <c r="E1188" s="3">
        <v>42231</v>
      </c>
      <c r="F1188">
        <f t="shared" si="36"/>
        <v>8</v>
      </c>
      <c r="G1188">
        <f t="shared" si="37"/>
        <v>2015</v>
      </c>
    </row>
    <row r="1189" spans="1:7" x14ac:dyDescent="0.25">
      <c r="A1189" s="2" t="s">
        <v>1104</v>
      </c>
      <c r="B1189" s="2" t="s">
        <v>3460</v>
      </c>
      <c r="C1189" s="2" t="s">
        <v>3461</v>
      </c>
      <c r="D1189" s="2" t="s">
        <v>572</v>
      </c>
      <c r="E1189" s="3">
        <v>42231</v>
      </c>
      <c r="F1189">
        <f t="shared" si="36"/>
        <v>8</v>
      </c>
      <c r="G1189">
        <f t="shared" si="37"/>
        <v>2015</v>
      </c>
    </row>
    <row r="1190" spans="1:7" ht="24" x14ac:dyDescent="0.25">
      <c r="A1190" s="2" t="s">
        <v>3462</v>
      </c>
      <c r="B1190" s="2" t="s">
        <v>3463</v>
      </c>
      <c r="C1190" s="2" t="s">
        <v>3464</v>
      </c>
      <c r="D1190" s="2" t="s">
        <v>3465</v>
      </c>
      <c r="E1190" s="3">
        <v>42231</v>
      </c>
      <c r="F1190">
        <f t="shared" si="36"/>
        <v>8</v>
      </c>
      <c r="G1190">
        <f t="shared" si="37"/>
        <v>2015</v>
      </c>
    </row>
    <row r="1191" spans="1:7" ht="24" x14ac:dyDescent="0.25">
      <c r="A1191" s="2" t="s">
        <v>3466</v>
      </c>
      <c r="B1191" s="2" t="s">
        <v>3467</v>
      </c>
      <c r="C1191" s="2" t="s">
        <v>140</v>
      </c>
      <c r="D1191" s="2" t="s">
        <v>3468</v>
      </c>
      <c r="E1191" s="3">
        <v>42231</v>
      </c>
      <c r="F1191">
        <f t="shared" si="36"/>
        <v>8</v>
      </c>
      <c r="G1191">
        <f t="shared" si="37"/>
        <v>2015</v>
      </c>
    </row>
    <row r="1192" spans="1:7" x14ac:dyDescent="0.25">
      <c r="A1192" s="2" t="s">
        <v>3469</v>
      </c>
      <c r="B1192" s="2" t="s">
        <v>3470</v>
      </c>
      <c r="C1192" s="2" t="s">
        <v>3471</v>
      </c>
      <c r="D1192" s="2" t="s">
        <v>3472</v>
      </c>
      <c r="E1192" s="3">
        <v>42231</v>
      </c>
      <c r="F1192">
        <f t="shared" si="36"/>
        <v>8</v>
      </c>
      <c r="G1192">
        <f t="shared" si="37"/>
        <v>2015</v>
      </c>
    </row>
    <row r="1193" spans="1:7" x14ac:dyDescent="0.25">
      <c r="A1193" s="2" t="s">
        <v>1785</v>
      </c>
      <c r="B1193" s="2" t="s">
        <v>3473</v>
      </c>
      <c r="C1193" s="2" t="s">
        <v>3474</v>
      </c>
      <c r="D1193" s="2" t="s">
        <v>3475</v>
      </c>
      <c r="E1193" s="3">
        <v>42231</v>
      </c>
      <c r="F1193">
        <f t="shared" si="36"/>
        <v>8</v>
      </c>
      <c r="G1193">
        <f t="shared" si="37"/>
        <v>2015</v>
      </c>
    </row>
    <row r="1194" spans="1:7" x14ac:dyDescent="0.25">
      <c r="A1194" s="2" t="s">
        <v>362</v>
      </c>
      <c r="B1194" s="2" t="s">
        <v>3476</v>
      </c>
      <c r="C1194" s="2" t="s">
        <v>576</v>
      </c>
      <c r="D1194" s="2" t="s">
        <v>3477</v>
      </c>
      <c r="E1194" s="3">
        <v>42231</v>
      </c>
      <c r="F1194">
        <f t="shared" si="36"/>
        <v>8</v>
      </c>
      <c r="G1194">
        <f t="shared" si="37"/>
        <v>2015</v>
      </c>
    </row>
    <row r="1195" spans="1:7" x14ac:dyDescent="0.25">
      <c r="A1195" s="2" t="s">
        <v>2531</v>
      </c>
      <c r="B1195" s="2" t="s">
        <v>3478</v>
      </c>
      <c r="C1195" s="2" t="s">
        <v>42</v>
      </c>
      <c r="D1195" s="2" t="s">
        <v>3479</v>
      </c>
      <c r="E1195" s="3">
        <v>42229</v>
      </c>
      <c r="F1195">
        <f t="shared" si="36"/>
        <v>8</v>
      </c>
      <c r="G1195">
        <f t="shared" si="37"/>
        <v>2015</v>
      </c>
    </row>
    <row r="1196" spans="1:7" x14ac:dyDescent="0.25">
      <c r="A1196" s="2" t="s">
        <v>1002</v>
      </c>
      <c r="B1196" s="2" t="s">
        <v>3480</v>
      </c>
      <c r="C1196" s="2" t="s">
        <v>576</v>
      </c>
      <c r="D1196" s="2" t="s">
        <v>311</v>
      </c>
      <c r="E1196" s="3">
        <v>42213</v>
      </c>
      <c r="F1196">
        <f t="shared" si="36"/>
        <v>7</v>
      </c>
      <c r="G1196">
        <f t="shared" si="37"/>
        <v>2015</v>
      </c>
    </row>
    <row r="1197" spans="1:7" x14ac:dyDescent="0.25">
      <c r="A1197" s="2" t="s">
        <v>2863</v>
      </c>
      <c r="B1197" s="2" t="s">
        <v>425</v>
      </c>
      <c r="C1197" s="2" t="s">
        <v>3481</v>
      </c>
      <c r="D1197" s="2" t="s">
        <v>114</v>
      </c>
      <c r="E1197" s="3">
        <v>42213</v>
      </c>
      <c r="F1197">
        <f t="shared" si="36"/>
        <v>7</v>
      </c>
      <c r="G1197">
        <f t="shared" si="37"/>
        <v>2015</v>
      </c>
    </row>
    <row r="1198" spans="1:7" x14ac:dyDescent="0.25">
      <c r="A1198" s="2" t="s">
        <v>788</v>
      </c>
      <c r="B1198" s="2" t="s">
        <v>2584</v>
      </c>
      <c r="C1198" s="2" t="s">
        <v>3482</v>
      </c>
      <c r="D1198" s="2" t="s">
        <v>3483</v>
      </c>
      <c r="E1198" s="3">
        <v>42212</v>
      </c>
      <c r="F1198">
        <f t="shared" si="36"/>
        <v>7</v>
      </c>
      <c r="G1198">
        <f t="shared" si="37"/>
        <v>2015</v>
      </c>
    </row>
    <row r="1199" spans="1:7" ht="24" x14ac:dyDescent="0.25">
      <c r="A1199" s="2" t="s">
        <v>396</v>
      </c>
      <c r="B1199" s="2" t="s">
        <v>3484</v>
      </c>
      <c r="C1199" s="2" t="s">
        <v>2251</v>
      </c>
      <c r="D1199" s="2" t="s">
        <v>3485</v>
      </c>
      <c r="E1199" s="3">
        <v>42198</v>
      </c>
      <c r="F1199">
        <f t="shared" si="36"/>
        <v>7</v>
      </c>
      <c r="G1199">
        <f t="shared" si="37"/>
        <v>2015</v>
      </c>
    </row>
    <row r="1200" spans="1:7" x14ac:dyDescent="0.25">
      <c r="A1200" s="2" t="s">
        <v>294</v>
      </c>
      <c r="B1200" s="2" t="s">
        <v>232</v>
      </c>
      <c r="C1200" s="2" t="s">
        <v>846</v>
      </c>
      <c r="D1200" s="2" t="s">
        <v>664</v>
      </c>
      <c r="E1200" s="3">
        <v>42195</v>
      </c>
      <c r="F1200">
        <f t="shared" si="36"/>
        <v>7</v>
      </c>
      <c r="G1200">
        <f t="shared" si="37"/>
        <v>2015</v>
      </c>
    </row>
    <row r="1201" spans="1:7" x14ac:dyDescent="0.25">
      <c r="A1201" s="2" t="s">
        <v>3486</v>
      </c>
      <c r="B1201" s="2" t="s">
        <v>1228</v>
      </c>
      <c r="C1201" s="2" t="s">
        <v>3487</v>
      </c>
      <c r="D1201" s="2" t="s">
        <v>3488</v>
      </c>
      <c r="E1201" s="3">
        <v>42195</v>
      </c>
      <c r="F1201">
        <f t="shared" si="36"/>
        <v>7</v>
      </c>
      <c r="G1201">
        <f t="shared" si="37"/>
        <v>2015</v>
      </c>
    </row>
    <row r="1202" spans="1:7" x14ac:dyDescent="0.25">
      <c r="A1202" s="2" t="s">
        <v>866</v>
      </c>
      <c r="B1202" s="2" t="s">
        <v>3489</v>
      </c>
      <c r="C1202" s="2" t="s">
        <v>956</v>
      </c>
      <c r="D1202" s="2" t="s">
        <v>670</v>
      </c>
      <c r="E1202" s="3">
        <v>42194</v>
      </c>
      <c r="F1202">
        <f t="shared" si="36"/>
        <v>7</v>
      </c>
      <c r="G1202">
        <f t="shared" si="37"/>
        <v>2015</v>
      </c>
    </row>
    <row r="1203" spans="1:7" x14ac:dyDescent="0.25">
      <c r="A1203" s="2" t="s">
        <v>485</v>
      </c>
      <c r="B1203" s="2" t="s">
        <v>3490</v>
      </c>
      <c r="C1203" s="2" t="s">
        <v>508</v>
      </c>
      <c r="D1203" s="2" t="s">
        <v>74</v>
      </c>
      <c r="E1203" s="3">
        <v>42194</v>
      </c>
      <c r="F1203">
        <f t="shared" si="36"/>
        <v>7</v>
      </c>
      <c r="G1203">
        <f t="shared" si="37"/>
        <v>2015</v>
      </c>
    </row>
    <row r="1204" spans="1:7" x14ac:dyDescent="0.25">
      <c r="A1204" s="2" t="s">
        <v>3491</v>
      </c>
      <c r="B1204" s="2" t="s">
        <v>3492</v>
      </c>
      <c r="C1204" s="2" t="s">
        <v>3493</v>
      </c>
      <c r="D1204" s="2" t="s">
        <v>3494</v>
      </c>
      <c r="E1204" s="3">
        <v>42194</v>
      </c>
      <c r="F1204">
        <f t="shared" si="36"/>
        <v>7</v>
      </c>
      <c r="G1204">
        <f t="shared" si="37"/>
        <v>2015</v>
      </c>
    </row>
    <row r="1205" spans="1:7" ht="24" x14ac:dyDescent="0.25">
      <c r="A1205" s="2" t="s">
        <v>3495</v>
      </c>
      <c r="B1205" s="2" t="s">
        <v>3496</v>
      </c>
      <c r="C1205" s="2" t="s">
        <v>3497</v>
      </c>
      <c r="D1205" s="2" t="s">
        <v>549</v>
      </c>
      <c r="E1205" s="3">
        <v>42194</v>
      </c>
      <c r="F1205">
        <f t="shared" si="36"/>
        <v>7</v>
      </c>
      <c r="G1205">
        <f t="shared" si="37"/>
        <v>2015</v>
      </c>
    </row>
    <row r="1206" spans="1:7" x14ac:dyDescent="0.25">
      <c r="A1206" s="2" t="s">
        <v>3019</v>
      </c>
      <c r="B1206" s="2" t="s">
        <v>2697</v>
      </c>
      <c r="C1206" s="2" t="s">
        <v>490</v>
      </c>
      <c r="D1206" s="2" t="s">
        <v>450</v>
      </c>
      <c r="E1206" s="3">
        <v>42194</v>
      </c>
      <c r="F1206">
        <f t="shared" si="36"/>
        <v>7</v>
      </c>
      <c r="G1206">
        <f t="shared" si="37"/>
        <v>2015</v>
      </c>
    </row>
    <row r="1207" spans="1:7" x14ac:dyDescent="0.25">
      <c r="A1207" s="2" t="s">
        <v>3498</v>
      </c>
      <c r="B1207" s="2" t="s">
        <v>3499</v>
      </c>
      <c r="C1207" s="2" t="s">
        <v>3500</v>
      </c>
      <c r="D1207" s="2" t="s">
        <v>233</v>
      </c>
      <c r="E1207" s="3">
        <v>42194</v>
      </c>
      <c r="F1207">
        <f t="shared" si="36"/>
        <v>7</v>
      </c>
      <c r="G1207">
        <f t="shared" si="37"/>
        <v>2015</v>
      </c>
    </row>
    <row r="1208" spans="1:7" ht="24" x14ac:dyDescent="0.25">
      <c r="A1208" s="2" t="s">
        <v>3501</v>
      </c>
      <c r="B1208" s="2" t="s">
        <v>3502</v>
      </c>
      <c r="C1208" s="2" t="s">
        <v>490</v>
      </c>
      <c r="D1208" s="2" t="s">
        <v>3503</v>
      </c>
      <c r="E1208" s="3">
        <v>42194</v>
      </c>
      <c r="F1208">
        <f t="shared" si="36"/>
        <v>7</v>
      </c>
      <c r="G1208">
        <f t="shared" si="37"/>
        <v>2015</v>
      </c>
    </row>
    <row r="1209" spans="1:7" x14ac:dyDescent="0.25">
      <c r="A1209" s="2" t="s">
        <v>3504</v>
      </c>
      <c r="B1209" s="2" t="s">
        <v>3505</v>
      </c>
      <c r="C1209" s="2" t="s">
        <v>3506</v>
      </c>
      <c r="D1209" s="2" t="s">
        <v>2439</v>
      </c>
      <c r="E1209" s="3">
        <v>42194</v>
      </c>
      <c r="F1209">
        <f t="shared" si="36"/>
        <v>7</v>
      </c>
      <c r="G1209">
        <f t="shared" si="37"/>
        <v>2015</v>
      </c>
    </row>
    <row r="1210" spans="1:7" x14ac:dyDescent="0.25">
      <c r="A1210" s="2" t="s">
        <v>3507</v>
      </c>
      <c r="B1210" s="2" t="s">
        <v>3508</v>
      </c>
      <c r="C1210" s="2" t="s">
        <v>3509</v>
      </c>
      <c r="D1210" s="2" t="s">
        <v>3510</v>
      </c>
      <c r="E1210" s="3">
        <v>42194</v>
      </c>
      <c r="F1210">
        <f t="shared" si="36"/>
        <v>7</v>
      </c>
      <c r="G1210">
        <f t="shared" si="37"/>
        <v>2015</v>
      </c>
    </row>
    <row r="1211" spans="1:7" ht="24" x14ac:dyDescent="0.25">
      <c r="A1211" s="2" t="s">
        <v>3511</v>
      </c>
      <c r="B1211" s="2" t="s">
        <v>2884</v>
      </c>
      <c r="C1211" s="2" t="s">
        <v>3512</v>
      </c>
      <c r="D1211" s="2" t="s">
        <v>3513</v>
      </c>
      <c r="E1211" s="3">
        <v>42194</v>
      </c>
      <c r="F1211">
        <f t="shared" si="36"/>
        <v>7</v>
      </c>
      <c r="G1211">
        <f t="shared" si="37"/>
        <v>2015</v>
      </c>
    </row>
    <row r="1212" spans="1:7" x14ac:dyDescent="0.25">
      <c r="A1212" s="2" t="s">
        <v>3514</v>
      </c>
      <c r="B1212" s="2" t="s">
        <v>3515</v>
      </c>
      <c r="C1212" s="2" t="s">
        <v>3516</v>
      </c>
      <c r="D1212" s="2" t="s">
        <v>3517</v>
      </c>
      <c r="E1212" s="3">
        <v>42194</v>
      </c>
      <c r="F1212">
        <f t="shared" si="36"/>
        <v>7</v>
      </c>
      <c r="G1212">
        <f t="shared" si="37"/>
        <v>2015</v>
      </c>
    </row>
    <row r="1213" spans="1:7" x14ac:dyDescent="0.25">
      <c r="A1213" s="2" t="s">
        <v>3518</v>
      </c>
      <c r="B1213" s="2" t="s">
        <v>3519</v>
      </c>
      <c r="C1213" s="2" t="s">
        <v>3520</v>
      </c>
      <c r="D1213" s="2" t="s">
        <v>1750</v>
      </c>
      <c r="E1213" s="3">
        <v>42194</v>
      </c>
      <c r="F1213">
        <f t="shared" si="36"/>
        <v>7</v>
      </c>
      <c r="G1213">
        <f t="shared" si="37"/>
        <v>2015</v>
      </c>
    </row>
    <row r="1214" spans="1:7" x14ac:dyDescent="0.25">
      <c r="A1214" s="2" t="s">
        <v>3521</v>
      </c>
      <c r="B1214" s="2" t="s">
        <v>383</v>
      </c>
      <c r="C1214" s="2" t="s">
        <v>3522</v>
      </c>
      <c r="D1214" s="2" t="s">
        <v>1860</v>
      </c>
      <c r="E1214" s="3">
        <v>42194</v>
      </c>
      <c r="F1214">
        <f t="shared" si="36"/>
        <v>7</v>
      </c>
      <c r="G1214">
        <f t="shared" si="37"/>
        <v>2015</v>
      </c>
    </row>
    <row r="1215" spans="1:7" x14ac:dyDescent="0.25">
      <c r="A1215" s="2" t="s">
        <v>197</v>
      </c>
      <c r="B1215" s="2" t="s">
        <v>3523</v>
      </c>
      <c r="C1215" s="2" t="s">
        <v>1324</v>
      </c>
      <c r="D1215" s="2" t="s">
        <v>3524</v>
      </c>
      <c r="E1215" s="3">
        <v>42194</v>
      </c>
      <c r="F1215">
        <f t="shared" si="36"/>
        <v>7</v>
      </c>
      <c r="G1215">
        <f t="shared" si="37"/>
        <v>2015</v>
      </c>
    </row>
    <row r="1216" spans="1:7" ht="24" x14ac:dyDescent="0.25">
      <c r="A1216" s="2" t="s">
        <v>3525</v>
      </c>
      <c r="B1216" s="2" t="s">
        <v>3526</v>
      </c>
      <c r="C1216" s="2" t="s">
        <v>2324</v>
      </c>
      <c r="D1216" s="2" t="s">
        <v>3527</v>
      </c>
      <c r="E1216" s="3">
        <v>42194</v>
      </c>
      <c r="F1216">
        <f t="shared" si="36"/>
        <v>7</v>
      </c>
      <c r="G1216">
        <f t="shared" si="37"/>
        <v>2015</v>
      </c>
    </row>
    <row r="1217" spans="1:7" x14ac:dyDescent="0.25">
      <c r="A1217" s="2" t="s">
        <v>29</v>
      </c>
      <c r="B1217" s="2" t="s">
        <v>68</v>
      </c>
      <c r="C1217" s="2" t="s">
        <v>3528</v>
      </c>
      <c r="D1217" s="2" t="s">
        <v>3529</v>
      </c>
      <c r="E1217" s="3">
        <v>42194</v>
      </c>
      <c r="F1217">
        <f t="shared" si="36"/>
        <v>7</v>
      </c>
      <c r="G1217">
        <f t="shared" si="37"/>
        <v>2015</v>
      </c>
    </row>
    <row r="1218" spans="1:7" ht="24" x14ac:dyDescent="0.25">
      <c r="A1218" s="2" t="s">
        <v>3530</v>
      </c>
      <c r="B1218" s="2" t="s">
        <v>3531</v>
      </c>
      <c r="C1218" s="2" t="s">
        <v>42</v>
      </c>
      <c r="D1218" s="2" t="s">
        <v>3532</v>
      </c>
      <c r="E1218" s="3">
        <v>42194</v>
      </c>
      <c r="F1218">
        <f t="shared" si="36"/>
        <v>7</v>
      </c>
      <c r="G1218">
        <f t="shared" si="37"/>
        <v>2015</v>
      </c>
    </row>
    <row r="1219" spans="1:7" ht="24" x14ac:dyDescent="0.25">
      <c r="A1219" s="2" t="s">
        <v>3533</v>
      </c>
      <c r="B1219" s="2" t="s">
        <v>3534</v>
      </c>
      <c r="C1219" s="2" t="s">
        <v>3535</v>
      </c>
      <c r="D1219" s="2" t="s">
        <v>3536</v>
      </c>
      <c r="E1219" s="3">
        <v>42194</v>
      </c>
      <c r="F1219">
        <f t="shared" ref="F1219:F1282" si="38">MONTH(E1219)</f>
        <v>7</v>
      </c>
      <c r="G1219">
        <f t="shared" ref="G1219:G1282" si="39">YEAR(E1219)</f>
        <v>2015</v>
      </c>
    </row>
    <row r="1220" spans="1:7" x14ac:dyDescent="0.25">
      <c r="A1220" s="2" t="s">
        <v>312</v>
      </c>
      <c r="B1220" s="2" t="s">
        <v>3537</v>
      </c>
      <c r="C1220" s="2" t="s">
        <v>3538</v>
      </c>
      <c r="D1220" s="2" t="s">
        <v>3539</v>
      </c>
      <c r="E1220" s="3">
        <v>42194</v>
      </c>
      <c r="F1220">
        <f t="shared" si="38"/>
        <v>7</v>
      </c>
      <c r="G1220">
        <f t="shared" si="39"/>
        <v>2015</v>
      </c>
    </row>
    <row r="1221" spans="1:7" x14ac:dyDescent="0.25">
      <c r="A1221" s="2" t="s">
        <v>2975</v>
      </c>
      <c r="B1221" s="2" t="s">
        <v>3540</v>
      </c>
      <c r="C1221" s="2" t="s">
        <v>65</v>
      </c>
      <c r="D1221" s="2" t="s">
        <v>388</v>
      </c>
      <c r="E1221" s="3">
        <v>42194</v>
      </c>
      <c r="F1221">
        <f t="shared" si="38"/>
        <v>7</v>
      </c>
      <c r="G1221">
        <f t="shared" si="39"/>
        <v>2015</v>
      </c>
    </row>
    <row r="1222" spans="1:7" x14ac:dyDescent="0.25">
      <c r="A1222" s="2" t="s">
        <v>1804</v>
      </c>
      <c r="B1222" s="2" t="s">
        <v>3541</v>
      </c>
      <c r="C1222" s="2" t="s">
        <v>3542</v>
      </c>
      <c r="D1222" s="2" t="s">
        <v>3543</v>
      </c>
      <c r="E1222" s="3">
        <v>42194</v>
      </c>
      <c r="F1222">
        <f t="shared" si="38"/>
        <v>7</v>
      </c>
      <c r="G1222">
        <f t="shared" si="39"/>
        <v>2015</v>
      </c>
    </row>
    <row r="1223" spans="1:7" x14ac:dyDescent="0.25">
      <c r="A1223" s="2" t="s">
        <v>268</v>
      </c>
      <c r="B1223" s="2" t="s">
        <v>3544</v>
      </c>
      <c r="C1223" s="2" t="s">
        <v>576</v>
      </c>
      <c r="D1223" s="2" t="s">
        <v>2711</v>
      </c>
      <c r="E1223" s="3">
        <v>42194</v>
      </c>
      <c r="F1223">
        <f t="shared" si="38"/>
        <v>7</v>
      </c>
      <c r="G1223">
        <f t="shared" si="39"/>
        <v>2015</v>
      </c>
    </row>
    <row r="1224" spans="1:7" x14ac:dyDescent="0.25">
      <c r="A1224" s="2" t="s">
        <v>3545</v>
      </c>
      <c r="B1224" s="2" t="s">
        <v>3546</v>
      </c>
      <c r="C1224" s="2" t="s">
        <v>3547</v>
      </c>
      <c r="D1224" s="2" t="s">
        <v>74</v>
      </c>
      <c r="E1224" s="3">
        <v>42194</v>
      </c>
      <c r="F1224">
        <f t="shared" si="38"/>
        <v>7</v>
      </c>
      <c r="G1224">
        <f t="shared" si="39"/>
        <v>2015</v>
      </c>
    </row>
    <row r="1225" spans="1:7" x14ac:dyDescent="0.25">
      <c r="A1225" s="2" t="s">
        <v>1907</v>
      </c>
      <c r="B1225" s="2" t="s">
        <v>197</v>
      </c>
      <c r="C1225" s="2" t="s">
        <v>3548</v>
      </c>
      <c r="D1225" s="2" t="s">
        <v>3549</v>
      </c>
      <c r="E1225" s="3">
        <v>42194</v>
      </c>
      <c r="F1225">
        <f t="shared" si="38"/>
        <v>7</v>
      </c>
      <c r="G1225">
        <f t="shared" si="39"/>
        <v>2015</v>
      </c>
    </row>
    <row r="1226" spans="1:7" x14ac:dyDescent="0.25">
      <c r="A1226" s="2" t="s">
        <v>349</v>
      </c>
      <c r="B1226" s="2" t="s">
        <v>3492</v>
      </c>
      <c r="C1226" s="2" t="s">
        <v>3550</v>
      </c>
      <c r="D1226" s="2" t="s">
        <v>3551</v>
      </c>
      <c r="E1226" s="3">
        <v>42194</v>
      </c>
      <c r="F1226">
        <f t="shared" si="38"/>
        <v>7</v>
      </c>
      <c r="G1226">
        <f t="shared" si="39"/>
        <v>2015</v>
      </c>
    </row>
    <row r="1227" spans="1:7" x14ac:dyDescent="0.25">
      <c r="A1227" s="2" t="s">
        <v>3552</v>
      </c>
      <c r="B1227" s="2" t="s">
        <v>3553</v>
      </c>
      <c r="C1227" s="2" t="s">
        <v>140</v>
      </c>
      <c r="D1227" s="2" t="s">
        <v>3554</v>
      </c>
      <c r="E1227" s="3">
        <v>42194</v>
      </c>
      <c r="F1227">
        <f t="shared" si="38"/>
        <v>7</v>
      </c>
      <c r="G1227">
        <f t="shared" si="39"/>
        <v>2015</v>
      </c>
    </row>
    <row r="1228" spans="1:7" ht="24" x14ac:dyDescent="0.25">
      <c r="A1228" s="2" t="s">
        <v>3555</v>
      </c>
      <c r="B1228" s="2" t="s">
        <v>3556</v>
      </c>
      <c r="C1228" s="2" t="s">
        <v>23</v>
      </c>
      <c r="D1228" s="2" t="s">
        <v>3557</v>
      </c>
      <c r="E1228" s="3">
        <v>42194</v>
      </c>
      <c r="F1228">
        <f t="shared" si="38"/>
        <v>7</v>
      </c>
      <c r="G1228">
        <f t="shared" si="39"/>
        <v>2015</v>
      </c>
    </row>
    <row r="1229" spans="1:7" x14ac:dyDescent="0.25">
      <c r="A1229" s="2" t="s">
        <v>3558</v>
      </c>
      <c r="B1229" s="2" t="s">
        <v>3559</v>
      </c>
      <c r="C1229" s="2" t="s">
        <v>3560</v>
      </c>
      <c r="D1229" s="2" t="s">
        <v>3561</v>
      </c>
      <c r="E1229" s="3">
        <v>42194</v>
      </c>
      <c r="F1229">
        <f t="shared" si="38"/>
        <v>7</v>
      </c>
      <c r="G1229">
        <f t="shared" si="39"/>
        <v>2015</v>
      </c>
    </row>
    <row r="1230" spans="1:7" x14ac:dyDescent="0.25">
      <c r="A1230" s="2" t="s">
        <v>3562</v>
      </c>
      <c r="B1230" s="2" t="s">
        <v>3179</v>
      </c>
      <c r="C1230" s="2" t="s">
        <v>3563</v>
      </c>
      <c r="D1230" s="2" t="s">
        <v>395</v>
      </c>
      <c r="E1230" s="3">
        <v>42194</v>
      </c>
      <c r="F1230">
        <f t="shared" si="38"/>
        <v>7</v>
      </c>
      <c r="G1230">
        <f t="shared" si="39"/>
        <v>2015</v>
      </c>
    </row>
    <row r="1231" spans="1:7" x14ac:dyDescent="0.25">
      <c r="A1231" s="2" t="s">
        <v>3564</v>
      </c>
      <c r="B1231" s="2" t="s">
        <v>3237</v>
      </c>
      <c r="C1231" s="2" t="s">
        <v>1451</v>
      </c>
      <c r="D1231" s="2" t="s">
        <v>3565</v>
      </c>
      <c r="E1231" s="3">
        <v>42194</v>
      </c>
      <c r="F1231">
        <f t="shared" si="38"/>
        <v>7</v>
      </c>
      <c r="G1231">
        <f t="shared" si="39"/>
        <v>2015</v>
      </c>
    </row>
    <row r="1232" spans="1:7" ht="24" x14ac:dyDescent="0.25">
      <c r="A1232" s="2" t="s">
        <v>1055</v>
      </c>
      <c r="B1232" s="2" t="s">
        <v>381</v>
      </c>
      <c r="C1232" s="2" t="s">
        <v>11</v>
      </c>
      <c r="D1232" s="2" t="s">
        <v>3566</v>
      </c>
      <c r="E1232" s="3">
        <v>42184</v>
      </c>
      <c r="F1232">
        <f t="shared" si="38"/>
        <v>6</v>
      </c>
      <c r="G1232">
        <f t="shared" si="39"/>
        <v>2015</v>
      </c>
    </row>
    <row r="1233" spans="1:7" x14ac:dyDescent="0.25">
      <c r="A1233" s="2" t="s">
        <v>3567</v>
      </c>
      <c r="B1233" s="2" t="s">
        <v>3568</v>
      </c>
      <c r="C1233" s="2" t="s">
        <v>3569</v>
      </c>
      <c r="D1233" s="2" t="s">
        <v>3570</v>
      </c>
      <c r="E1233" s="3">
        <v>42170</v>
      </c>
      <c r="F1233">
        <f t="shared" si="38"/>
        <v>6</v>
      </c>
      <c r="G1233">
        <f t="shared" si="39"/>
        <v>2015</v>
      </c>
    </row>
    <row r="1234" spans="1:7" x14ac:dyDescent="0.25">
      <c r="A1234" s="2" t="s">
        <v>3571</v>
      </c>
      <c r="B1234" s="2" t="s">
        <v>101</v>
      </c>
      <c r="C1234" s="2" t="s">
        <v>3572</v>
      </c>
      <c r="D1234" s="2" t="s">
        <v>3573</v>
      </c>
      <c r="E1234" s="3">
        <v>42162</v>
      </c>
      <c r="F1234">
        <f t="shared" si="38"/>
        <v>6</v>
      </c>
      <c r="G1234">
        <f t="shared" si="39"/>
        <v>2015</v>
      </c>
    </row>
    <row r="1235" spans="1:7" x14ac:dyDescent="0.25">
      <c r="A1235" s="2" t="s">
        <v>3574</v>
      </c>
      <c r="B1235" s="2" t="s">
        <v>3575</v>
      </c>
      <c r="C1235" s="2" t="s">
        <v>3389</v>
      </c>
      <c r="D1235" s="2" t="s">
        <v>3576</v>
      </c>
      <c r="E1235" s="3">
        <v>42159</v>
      </c>
      <c r="F1235">
        <f t="shared" si="38"/>
        <v>6</v>
      </c>
      <c r="G1235">
        <f t="shared" si="39"/>
        <v>2015</v>
      </c>
    </row>
    <row r="1236" spans="1:7" x14ac:dyDescent="0.25">
      <c r="A1236" s="2" t="s">
        <v>3577</v>
      </c>
      <c r="B1236" s="2" t="s">
        <v>3578</v>
      </c>
      <c r="C1236" s="2" t="s">
        <v>42</v>
      </c>
      <c r="D1236" s="2" t="s">
        <v>3579</v>
      </c>
      <c r="E1236" s="3">
        <v>42122</v>
      </c>
      <c r="F1236">
        <f t="shared" si="38"/>
        <v>4</v>
      </c>
      <c r="G1236">
        <f t="shared" si="39"/>
        <v>2015</v>
      </c>
    </row>
    <row r="1237" spans="1:7" x14ac:dyDescent="0.25">
      <c r="A1237" s="2" t="s">
        <v>3580</v>
      </c>
      <c r="B1237" s="2" t="s">
        <v>3581</v>
      </c>
      <c r="C1237" s="2" t="s">
        <v>3582</v>
      </c>
      <c r="D1237" s="2" t="s">
        <v>3583</v>
      </c>
      <c r="E1237" s="3">
        <v>42122</v>
      </c>
      <c r="F1237">
        <f t="shared" si="38"/>
        <v>4</v>
      </c>
      <c r="G1237">
        <f t="shared" si="39"/>
        <v>2015</v>
      </c>
    </row>
    <row r="1238" spans="1:7" x14ac:dyDescent="0.25">
      <c r="A1238" s="2" t="s">
        <v>3584</v>
      </c>
      <c r="B1238" s="2" t="s">
        <v>3585</v>
      </c>
      <c r="C1238" s="2" t="s">
        <v>3586</v>
      </c>
      <c r="D1238" s="2" t="s">
        <v>3587</v>
      </c>
      <c r="E1238" s="3">
        <v>42104</v>
      </c>
      <c r="F1238">
        <f t="shared" si="38"/>
        <v>4</v>
      </c>
      <c r="G1238">
        <f t="shared" si="39"/>
        <v>2015</v>
      </c>
    </row>
    <row r="1239" spans="1:7" x14ac:dyDescent="0.25">
      <c r="A1239" s="2" t="s">
        <v>3588</v>
      </c>
      <c r="B1239" s="2" t="s">
        <v>3589</v>
      </c>
      <c r="C1239" s="2" t="s">
        <v>11</v>
      </c>
      <c r="D1239" s="2" t="s">
        <v>3590</v>
      </c>
      <c r="E1239" s="3">
        <v>42083</v>
      </c>
      <c r="F1239">
        <f t="shared" si="38"/>
        <v>3</v>
      </c>
      <c r="G1239">
        <f t="shared" si="39"/>
        <v>2015</v>
      </c>
    </row>
    <row r="1240" spans="1:7" x14ac:dyDescent="0.25">
      <c r="A1240" s="2" t="s">
        <v>3591</v>
      </c>
      <c r="B1240" s="2" t="s">
        <v>3592</v>
      </c>
      <c r="C1240" s="2" t="s">
        <v>3593</v>
      </c>
      <c r="D1240" s="2" t="s">
        <v>3594</v>
      </c>
      <c r="E1240" s="3">
        <v>42040</v>
      </c>
      <c r="F1240">
        <f t="shared" si="38"/>
        <v>2</v>
      </c>
      <c r="G1240">
        <f t="shared" si="39"/>
        <v>2015</v>
      </c>
    </row>
    <row r="1241" spans="1:7" x14ac:dyDescent="0.25">
      <c r="A1241" s="2" t="s">
        <v>3595</v>
      </c>
      <c r="B1241" s="2" t="s">
        <v>3596</v>
      </c>
      <c r="C1241" s="2" t="s">
        <v>3220</v>
      </c>
      <c r="D1241" s="2" t="s">
        <v>3597</v>
      </c>
      <c r="E1241" s="3">
        <v>42012</v>
      </c>
      <c r="F1241">
        <f t="shared" si="38"/>
        <v>1</v>
      </c>
      <c r="G1241">
        <f t="shared" si="39"/>
        <v>2015</v>
      </c>
    </row>
    <row r="1242" spans="1:7" ht="24" x14ac:dyDescent="0.25">
      <c r="A1242" s="2" t="s">
        <v>3598</v>
      </c>
      <c r="B1242" s="2" t="s">
        <v>3599</v>
      </c>
      <c r="C1242" s="2" t="s">
        <v>1524</v>
      </c>
      <c r="D1242" s="2" t="s">
        <v>3600</v>
      </c>
      <c r="E1242" s="3">
        <v>41992</v>
      </c>
      <c r="F1242">
        <f t="shared" si="38"/>
        <v>12</v>
      </c>
      <c r="G1242">
        <f t="shared" si="39"/>
        <v>2014</v>
      </c>
    </row>
    <row r="1243" spans="1:7" x14ac:dyDescent="0.25">
      <c r="A1243" s="2" t="s">
        <v>3601</v>
      </c>
      <c r="B1243" s="2" t="s">
        <v>3602</v>
      </c>
      <c r="C1243" s="2"/>
      <c r="D1243" s="2"/>
      <c r="E1243" s="3">
        <v>41977</v>
      </c>
      <c r="F1243">
        <f t="shared" si="38"/>
        <v>12</v>
      </c>
      <c r="G1243">
        <f t="shared" si="39"/>
        <v>2014</v>
      </c>
    </row>
    <row r="1244" spans="1:7" x14ac:dyDescent="0.25">
      <c r="A1244" s="2" t="s">
        <v>3603</v>
      </c>
      <c r="B1244" s="2" t="s">
        <v>232</v>
      </c>
      <c r="C1244" s="2" t="s">
        <v>42</v>
      </c>
      <c r="D1244" s="2" t="s">
        <v>80</v>
      </c>
      <c r="E1244" s="3">
        <v>41929</v>
      </c>
      <c r="F1244">
        <f t="shared" si="38"/>
        <v>10</v>
      </c>
      <c r="G1244">
        <f t="shared" si="39"/>
        <v>2014</v>
      </c>
    </row>
    <row r="1245" spans="1:7" x14ac:dyDescent="0.25">
      <c r="A1245" s="2" t="s">
        <v>3604</v>
      </c>
      <c r="B1245" s="2" t="s">
        <v>3605</v>
      </c>
      <c r="C1245" s="2" t="s">
        <v>11</v>
      </c>
      <c r="D1245" s="2" t="s">
        <v>3606</v>
      </c>
      <c r="E1245" s="3">
        <v>41908</v>
      </c>
      <c r="F1245">
        <f t="shared" si="38"/>
        <v>9</v>
      </c>
      <c r="G1245">
        <f t="shared" si="39"/>
        <v>2014</v>
      </c>
    </row>
    <row r="1246" spans="1:7" x14ac:dyDescent="0.25">
      <c r="A1246" s="2" t="s">
        <v>3014</v>
      </c>
      <c r="B1246" s="2" t="s">
        <v>3607</v>
      </c>
      <c r="C1246" s="2" t="s">
        <v>3608</v>
      </c>
      <c r="D1246" s="2" t="s">
        <v>2974</v>
      </c>
      <c r="E1246" s="3">
        <v>41904</v>
      </c>
      <c r="F1246">
        <f t="shared" si="38"/>
        <v>9</v>
      </c>
      <c r="G1246">
        <f t="shared" si="39"/>
        <v>2014</v>
      </c>
    </row>
    <row r="1247" spans="1:7" x14ac:dyDescent="0.25">
      <c r="A1247" s="2" t="s">
        <v>3609</v>
      </c>
      <c r="B1247" s="2" t="s">
        <v>3610</v>
      </c>
      <c r="C1247" s="2" t="s">
        <v>576</v>
      </c>
      <c r="D1247" s="2" t="s">
        <v>740</v>
      </c>
      <c r="E1247" s="3">
        <v>41899</v>
      </c>
      <c r="F1247">
        <f t="shared" si="38"/>
        <v>9</v>
      </c>
      <c r="G1247">
        <f t="shared" si="39"/>
        <v>2014</v>
      </c>
    </row>
    <row r="1248" spans="1:7" x14ac:dyDescent="0.25">
      <c r="A1248" s="2" t="s">
        <v>3611</v>
      </c>
      <c r="B1248" s="2" t="s">
        <v>2536</v>
      </c>
      <c r="C1248" s="2" t="s">
        <v>3612</v>
      </c>
      <c r="D1248" s="2" t="s">
        <v>3613</v>
      </c>
      <c r="E1248" s="3">
        <v>41876</v>
      </c>
      <c r="F1248">
        <f t="shared" si="38"/>
        <v>8</v>
      </c>
      <c r="G1248">
        <f t="shared" si="39"/>
        <v>2014</v>
      </c>
    </row>
    <row r="1249" spans="1:7" x14ac:dyDescent="0.25">
      <c r="A1249" s="2" t="s">
        <v>3614</v>
      </c>
      <c r="B1249" s="2" t="s">
        <v>3615</v>
      </c>
      <c r="C1249" s="2" t="s">
        <v>3616</v>
      </c>
      <c r="D1249" s="2" t="s">
        <v>3617</v>
      </c>
      <c r="E1249" s="3">
        <v>41876</v>
      </c>
      <c r="F1249">
        <f t="shared" si="38"/>
        <v>8</v>
      </c>
      <c r="G1249">
        <f t="shared" si="39"/>
        <v>2014</v>
      </c>
    </row>
    <row r="1250" spans="1:7" x14ac:dyDescent="0.25">
      <c r="A1250" s="2" t="s">
        <v>1358</v>
      </c>
      <c r="B1250" s="2" t="s">
        <v>3618</v>
      </c>
      <c r="C1250" s="2" t="s">
        <v>3619</v>
      </c>
      <c r="D1250" s="2" t="s">
        <v>3620</v>
      </c>
      <c r="E1250" s="3">
        <v>41870</v>
      </c>
      <c r="F1250">
        <f t="shared" si="38"/>
        <v>8</v>
      </c>
      <c r="G1250">
        <f t="shared" si="39"/>
        <v>2014</v>
      </c>
    </row>
    <row r="1251" spans="1:7" x14ac:dyDescent="0.25">
      <c r="A1251" s="2" t="s">
        <v>2863</v>
      </c>
      <c r="B1251" s="2" t="s">
        <v>3621</v>
      </c>
      <c r="C1251" s="2" t="s">
        <v>3622</v>
      </c>
      <c r="D1251" s="2" t="s">
        <v>3623</v>
      </c>
      <c r="E1251" s="3">
        <v>41859</v>
      </c>
      <c r="F1251">
        <f t="shared" si="38"/>
        <v>8</v>
      </c>
      <c r="G1251">
        <f t="shared" si="39"/>
        <v>2014</v>
      </c>
    </row>
    <row r="1252" spans="1:7" x14ac:dyDescent="0.25">
      <c r="A1252" s="2" t="s">
        <v>1055</v>
      </c>
      <c r="B1252" s="2" t="s">
        <v>3624</v>
      </c>
      <c r="C1252" s="2" t="s">
        <v>3625</v>
      </c>
      <c r="D1252" s="2" t="s">
        <v>365</v>
      </c>
      <c r="E1252" s="3">
        <v>41852</v>
      </c>
      <c r="F1252">
        <f t="shared" si="38"/>
        <v>8</v>
      </c>
      <c r="G1252">
        <f t="shared" si="39"/>
        <v>2014</v>
      </c>
    </row>
    <row r="1253" spans="1:7" ht="24" x14ac:dyDescent="0.25">
      <c r="A1253" s="2" t="s">
        <v>3626</v>
      </c>
      <c r="B1253" s="2" t="s">
        <v>3627</v>
      </c>
      <c r="C1253" s="2" t="s">
        <v>3628</v>
      </c>
      <c r="D1253" s="2" t="s">
        <v>790</v>
      </c>
      <c r="E1253" s="3">
        <v>41833</v>
      </c>
      <c r="F1253">
        <f t="shared" si="38"/>
        <v>7</v>
      </c>
      <c r="G1253">
        <f t="shared" si="39"/>
        <v>2014</v>
      </c>
    </row>
    <row r="1254" spans="1:7" x14ac:dyDescent="0.25">
      <c r="A1254" s="2" t="s">
        <v>3629</v>
      </c>
      <c r="B1254" s="2" t="s">
        <v>3630</v>
      </c>
      <c r="C1254" s="2" t="s">
        <v>42</v>
      </c>
      <c r="D1254" s="2" t="s">
        <v>2313</v>
      </c>
      <c r="E1254" s="3">
        <v>41817</v>
      </c>
      <c r="F1254">
        <f t="shared" si="38"/>
        <v>6</v>
      </c>
      <c r="G1254">
        <f t="shared" si="39"/>
        <v>2014</v>
      </c>
    </row>
    <row r="1255" spans="1:7" x14ac:dyDescent="0.25">
      <c r="A1255" s="2" t="s">
        <v>1907</v>
      </c>
      <c r="B1255" s="2" t="s">
        <v>3631</v>
      </c>
      <c r="C1255" s="2" t="s">
        <v>3632</v>
      </c>
      <c r="D1255" s="2" t="s">
        <v>3390</v>
      </c>
      <c r="E1255" s="3">
        <v>41782</v>
      </c>
      <c r="F1255">
        <f t="shared" si="38"/>
        <v>5</v>
      </c>
      <c r="G1255">
        <f t="shared" si="39"/>
        <v>2014</v>
      </c>
    </row>
    <row r="1256" spans="1:7" x14ac:dyDescent="0.25">
      <c r="A1256" s="2" t="s">
        <v>3633</v>
      </c>
      <c r="B1256" s="2" t="s">
        <v>3634</v>
      </c>
      <c r="C1256" s="2" t="s">
        <v>3635</v>
      </c>
      <c r="D1256" s="2" t="s">
        <v>2650</v>
      </c>
      <c r="E1256" s="3">
        <v>41765</v>
      </c>
      <c r="F1256">
        <f t="shared" si="38"/>
        <v>5</v>
      </c>
      <c r="G1256">
        <f t="shared" si="39"/>
        <v>2014</v>
      </c>
    </row>
    <row r="1257" spans="1:7" x14ac:dyDescent="0.25">
      <c r="A1257" s="2" t="s">
        <v>3636</v>
      </c>
      <c r="B1257" s="2" t="s">
        <v>3637</v>
      </c>
      <c r="C1257" s="2" t="s">
        <v>3638</v>
      </c>
      <c r="D1257" s="2" t="s">
        <v>3510</v>
      </c>
      <c r="E1257" s="3">
        <v>41763</v>
      </c>
      <c r="F1257">
        <f t="shared" si="38"/>
        <v>5</v>
      </c>
      <c r="G1257">
        <f t="shared" si="39"/>
        <v>2014</v>
      </c>
    </row>
    <row r="1258" spans="1:7" x14ac:dyDescent="0.25">
      <c r="A1258" s="2" t="s">
        <v>3639</v>
      </c>
      <c r="B1258" s="2" t="s">
        <v>147</v>
      </c>
      <c r="C1258" s="2" t="s">
        <v>3640</v>
      </c>
      <c r="D1258" s="2" t="s">
        <v>3641</v>
      </c>
      <c r="E1258" s="3">
        <v>41760</v>
      </c>
      <c r="F1258">
        <f t="shared" si="38"/>
        <v>5</v>
      </c>
      <c r="G1258">
        <f t="shared" si="39"/>
        <v>2014</v>
      </c>
    </row>
    <row r="1259" spans="1:7" x14ac:dyDescent="0.25">
      <c r="A1259" s="2" t="s">
        <v>3642</v>
      </c>
      <c r="B1259" s="2" t="s">
        <v>1687</v>
      </c>
      <c r="C1259" s="2" t="s">
        <v>3643</v>
      </c>
      <c r="D1259" s="2" t="s">
        <v>670</v>
      </c>
      <c r="E1259" s="3">
        <v>41737</v>
      </c>
      <c r="F1259">
        <f t="shared" si="38"/>
        <v>4</v>
      </c>
      <c r="G1259">
        <f t="shared" si="39"/>
        <v>2014</v>
      </c>
    </row>
    <row r="1260" spans="1:7" ht="24" x14ac:dyDescent="0.25">
      <c r="A1260" s="2" t="s">
        <v>3644</v>
      </c>
      <c r="B1260" s="2" t="s">
        <v>3645</v>
      </c>
      <c r="C1260" s="2" t="s">
        <v>1739</v>
      </c>
      <c r="D1260" s="2" t="s">
        <v>3646</v>
      </c>
      <c r="E1260" s="3">
        <v>41726</v>
      </c>
      <c r="F1260">
        <f t="shared" si="38"/>
        <v>3</v>
      </c>
      <c r="G1260">
        <f t="shared" si="39"/>
        <v>2014</v>
      </c>
    </row>
    <row r="1261" spans="1:7" x14ac:dyDescent="0.25">
      <c r="A1261" s="2" t="s">
        <v>3647</v>
      </c>
      <c r="B1261" s="2" t="s">
        <v>3648</v>
      </c>
      <c r="C1261" s="2" t="s">
        <v>351</v>
      </c>
      <c r="D1261" s="2" t="s">
        <v>1672</v>
      </c>
      <c r="E1261" s="3">
        <v>41725</v>
      </c>
      <c r="F1261">
        <f t="shared" si="38"/>
        <v>3</v>
      </c>
      <c r="G1261">
        <f t="shared" si="39"/>
        <v>2014</v>
      </c>
    </row>
    <row r="1262" spans="1:7" ht="24" x14ac:dyDescent="0.25">
      <c r="A1262" s="2" t="s">
        <v>3649</v>
      </c>
      <c r="B1262" s="2" t="s">
        <v>3650</v>
      </c>
      <c r="C1262" s="2" t="s">
        <v>3651</v>
      </c>
      <c r="D1262" s="2" t="s">
        <v>3652</v>
      </c>
      <c r="E1262" s="3">
        <v>41723</v>
      </c>
      <c r="F1262">
        <f t="shared" si="38"/>
        <v>3</v>
      </c>
      <c r="G1262">
        <f t="shared" si="39"/>
        <v>2014</v>
      </c>
    </row>
    <row r="1263" spans="1:7" ht="24" x14ac:dyDescent="0.25">
      <c r="A1263" s="2" t="s">
        <v>3653</v>
      </c>
      <c r="B1263" s="2" t="s">
        <v>3654</v>
      </c>
      <c r="C1263" s="2" t="s">
        <v>3655</v>
      </c>
      <c r="D1263" s="2" t="s">
        <v>3656</v>
      </c>
      <c r="E1263" s="3">
        <v>41704</v>
      </c>
      <c r="F1263">
        <f t="shared" si="38"/>
        <v>3</v>
      </c>
      <c r="G1263">
        <f t="shared" si="39"/>
        <v>2014</v>
      </c>
    </row>
    <row r="1264" spans="1:7" x14ac:dyDescent="0.25">
      <c r="A1264" s="2" t="s">
        <v>3657</v>
      </c>
      <c r="B1264" s="2" t="s">
        <v>3658</v>
      </c>
      <c r="C1264" s="2" t="s">
        <v>3659</v>
      </c>
      <c r="D1264" s="2" t="s">
        <v>3660</v>
      </c>
      <c r="E1264" s="3">
        <v>41704</v>
      </c>
      <c r="F1264">
        <f t="shared" si="38"/>
        <v>3</v>
      </c>
      <c r="G1264">
        <f t="shared" si="39"/>
        <v>2014</v>
      </c>
    </row>
    <row r="1265" spans="1:7" ht="24" x14ac:dyDescent="0.25">
      <c r="A1265" s="2" t="s">
        <v>3661</v>
      </c>
      <c r="B1265" s="2" t="s">
        <v>3662</v>
      </c>
      <c r="C1265" s="2" t="s">
        <v>3663</v>
      </c>
      <c r="D1265" s="2" t="s">
        <v>3664</v>
      </c>
      <c r="E1265" s="3">
        <v>41703</v>
      </c>
      <c r="F1265">
        <f t="shared" si="38"/>
        <v>3</v>
      </c>
      <c r="G1265">
        <f t="shared" si="39"/>
        <v>2014</v>
      </c>
    </row>
    <row r="1266" spans="1:7" ht="24" x14ac:dyDescent="0.25">
      <c r="A1266" s="2" t="s">
        <v>3665</v>
      </c>
      <c r="B1266" s="2" t="s">
        <v>3666</v>
      </c>
      <c r="C1266" s="2" t="s">
        <v>3667</v>
      </c>
      <c r="D1266" s="2" t="s">
        <v>3668</v>
      </c>
      <c r="E1266" s="3">
        <v>41697</v>
      </c>
      <c r="F1266">
        <f t="shared" si="38"/>
        <v>2</v>
      </c>
      <c r="G1266">
        <f t="shared" si="39"/>
        <v>2014</v>
      </c>
    </row>
    <row r="1267" spans="1:7" x14ac:dyDescent="0.25">
      <c r="A1267" s="2" t="s">
        <v>513</v>
      </c>
      <c r="B1267" s="2" t="s">
        <v>3669</v>
      </c>
      <c r="C1267" s="2" t="s">
        <v>42</v>
      </c>
      <c r="D1267" s="2" t="s">
        <v>1901</v>
      </c>
      <c r="E1267" s="3">
        <v>41692</v>
      </c>
      <c r="F1267">
        <f t="shared" si="38"/>
        <v>2</v>
      </c>
      <c r="G1267">
        <f t="shared" si="39"/>
        <v>2014</v>
      </c>
    </row>
    <row r="1268" spans="1:7" x14ac:dyDescent="0.25">
      <c r="A1268" s="2" t="s">
        <v>1465</v>
      </c>
      <c r="B1268" s="2" t="s">
        <v>1326</v>
      </c>
      <c r="C1268" s="2" t="s">
        <v>3670</v>
      </c>
      <c r="D1268" s="2" t="s">
        <v>8</v>
      </c>
      <c r="E1268" s="3">
        <v>41690</v>
      </c>
      <c r="F1268">
        <f t="shared" si="38"/>
        <v>2</v>
      </c>
      <c r="G1268">
        <f t="shared" si="39"/>
        <v>2014</v>
      </c>
    </row>
    <row r="1269" spans="1:7" x14ac:dyDescent="0.25">
      <c r="A1269" s="2" t="s">
        <v>3671</v>
      </c>
      <c r="B1269" s="2" t="s">
        <v>3672</v>
      </c>
      <c r="C1269" s="2" t="s">
        <v>576</v>
      </c>
      <c r="D1269" s="2" t="s">
        <v>533</v>
      </c>
      <c r="E1269" s="3">
        <v>41689</v>
      </c>
      <c r="F1269">
        <f t="shared" si="38"/>
        <v>2</v>
      </c>
      <c r="G1269">
        <f t="shared" si="39"/>
        <v>2014</v>
      </c>
    </row>
    <row r="1270" spans="1:7" x14ac:dyDescent="0.25">
      <c r="A1270" s="2" t="s">
        <v>1131</v>
      </c>
      <c r="B1270" s="2" t="s">
        <v>3673</v>
      </c>
      <c r="C1270" s="2" t="s">
        <v>3674</v>
      </c>
      <c r="D1270" s="2" t="s">
        <v>74</v>
      </c>
      <c r="E1270" s="3">
        <v>41668</v>
      </c>
      <c r="F1270">
        <f t="shared" si="38"/>
        <v>1</v>
      </c>
      <c r="G1270">
        <f t="shared" si="39"/>
        <v>2014</v>
      </c>
    </row>
    <row r="1271" spans="1:7" ht="24" x14ac:dyDescent="0.25">
      <c r="A1271" s="2" t="s">
        <v>3675</v>
      </c>
      <c r="B1271" s="2" t="s">
        <v>1950</v>
      </c>
      <c r="C1271" s="2" t="s">
        <v>3676</v>
      </c>
      <c r="D1271" s="2" t="s">
        <v>3677</v>
      </c>
      <c r="E1271" s="3">
        <v>41652</v>
      </c>
      <c r="F1271">
        <f t="shared" si="38"/>
        <v>1</v>
      </c>
      <c r="G1271">
        <f t="shared" si="39"/>
        <v>2014</v>
      </c>
    </row>
    <row r="1272" spans="1:7" x14ac:dyDescent="0.25">
      <c r="A1272" s="2" t="s">
        <v>3678</v>
      </c>
      <c r="B1272" s="2" t="s">
        <v>3679</v>
      </c>
      <c r="C1272" s="2" t="s">
        <v>3680</v>
      </c>
      <c r="D1272" s="2" t="s">
        <v>3390</v>
      </c>
      <c r="E1272" s="3">
        <v>41651</v>
      </c>
      <c r="F1272">
        <f t="shared" si="38"/>
        <v>1</v>
      </c>
      <c r="G1272">
        <f t="shared" si="39"/>
        <v>2014</v>
      </c>
    </row>
    <row r="1273" spans="1:7" x14ac:dyDescent="0.25">
      <c r="A1273" s="2" t="s">
        <v>3681</v>
      </c>
      <c r="B1273" s="2" t="s">
        <v>819</v>
      </c>
      <c r="C1273" s="2" t="s">
        <v>42</v>
      </c>
      <c r="D1273" s="2" t="s">
        <v>3682</v>
      </c>
      <c r="E1273" s="3">
        <v>41648</v>
      </c>
      <c r="F1273">
        <f t="shared" si="38"/>
        <v>1</v>
      </c>
      <c r="G1273">
        <f t="shared" si="39"/>
        <v>2014</v>
      </c>
    </row>
    <row r="1274" spans="1:7" x14ac:dyDescent="0.25">
      <c r="A1274" s="2" t="s">
        <v>3683</v>
      </c>
      <c r="B1274" s="2" t="s">
        <v>3684</v>
      </c>
      <c r="C1274" s="2" t="s">
        <v>42</v>
      </c>
      <c r="D1274" s="2" t="s">
        <v>3685</v>
      </c>
      <c r="E1274" s="3">
        <v>41646</v>
      </c>
      <c r="F1274">
        <f t="shared" si="38"/>
        <v>1</v>
      </c>
      <c r="G1274">
        <f t="shared" si="39"/>
        <v>2014</v>
      </c>
    </row>
    <row r="1275" spans="1:7" x14ac:dyDescent="0.25">
      <c r="A1275" s="2" t="s">
        <v>48</v>
      </c>
      <c r="B1275" s="2" t="s">
        <v>3686</v>
      </c>
      <c r="C1275" s="2" t="s">
        <v>3687</v>
      </c>
      <c r="D1275" s="2" t="s">
        <v>395</v>
      </c>
      <c r="E1275" s="3">
        <v>41627</v>
      </c>
      <c r="F1275">
        <f t="shared" si="38"/>
        <v>12</v>
      </c>
      <c r="G1275">
        <f t="shared" si="39"/>
        <v>2013</v>
      </c>
    </row>
    <row r="1276" spans="1:7" x14ac:dyDescent="0.25">
      <c r="A1276" s="2" t="s">
        <v>3688</v>
      </c>
      <c r="B1276" s="2" t="s">
        <v>3689</v>
      </c>
      <c r="C1276" s="2" t="s">
        <v>3690</v>
      </c>
      <c r="D1276" s="2" t="s">
        <v>3691</v>
      </c>
      <c r="E1276" s="3">
        <v>41625</v>
      </c>
      <c r="F1276">
        <f t="shared" si="38"/>
        <v>12</v>
      </c>
      <c r="G1276">
        <f t="shared" si="39"/>
        <v>2013</v>
      </c>
    </row>
    <row r="1277" spans="1:7" x14ac:dyDescent="0.25">
      <c r="A1277" s="2" t="s">
        <v>3692</v>
      </c>
      <c r="B1277" s="2" t="s">
        <v>3693</v>
      </c>
      <c r="C1277" s="2" t="s">
        <v>3694</v>
      </c>
      <c r="D1277" s="2" t="s">
        <v>3695</v>
      </c>
      <c r="E1277" s="3">
        <v>41625</v>
      </c>
      <c r="F1277">
        <f t="shared" si="38"/>
        <v>12</v>
      </c>
      <c r="G1277">
        <f t="shared" si="39"/>
        <v>2013</v>
      </c>
    </row>
    <row r="1278" spans="1:7" x14ac:dyDescent="0.25">
      <c r="A1278" s="2" t="s">
        <v>3696</v>
      </c>
      <c r="B1278" s="2" t="s">
        <v>3697</v>
      </c>
      <c r="C1278" s="2" t="s">
        <v>3698</v>
      </c>
      <c r="D1278" s="2" t="s">
        <v>3699</v>
      </c>
      <c r="E1278" s="3">
        <v>41625</v>
      </c>
      <c r="F1278">
        <f t="shared" si="38"/>
        <v>12</v>
      </c>
      <c r="G1278">
        <f t="shared" si="39"/>
        <v>2013</v>
      </c>
    </row>
    <row r="1279" spans="1:7" ht="36" x14ac:dyDescent="0.25">
      <c r="A1279" s="2" t="s">
        <v>1570</v>
      </c>
      <c r="B1279" s="2" t="s">
        <v>3700</v>
      </c>
      <c r="C1279" s="2" t="s">
        <v>3701</v>
      </c>
      <c r="D1279" s="2" t="s">
        <v>365</v>
      </c>
      <c r="E1279" s="3">
        <v>41625</v>
      </c>
      <c r="F1279">
        <f t="shared" si="38"/>
        <v>12</v>
      </c>
      <c r="G1279">
        <f t="shared" si="39"/>
        <v>2013</v>
      </c>
    </row>
    <row r="1280" spans="1:7" x14ac:dyDescent="0.25">
      <c r="A1280" s="2" t="s">
        <v>3702</v>
      </c>
      <c r="B1280" s="2" t="s">
        <v>3703</v>
      </c>
      <c r="C1280" s="2" t="s">
        <v>3704</v>
      </c>
      <c r="D1280" s="2" t="s">
        <v>3705</v>
      </c>
      <c r="E1280" s="3">
        <v>41625</v>
      </c>
      <c r="F1280">
        <f t="shared" si="38"/>
        <v>12</v>
      </c>
      <c r="G1280">
        <f t="shared" si="39"/>
        <v>2013</v>
      </c>
    </row>
    <row r="1281" spans="1:7" ht="24" x14ac:dyDescent="0.25">
      <c r="A1281" s="2" t="s">
        <v>3447</v>
      </c>
      <c r="B1281" s="2" t="s">
        <v>404</v>
      </c>
      <c r="C1281" s="2" t="s">
        <v>3706</v>
      </c>
      <c r="D1281" s="2" t="s">
        <v>2764</v>
      </c>
      <c r="E1281" s="3">
        <v>41625</v>
      </c>
      <c r="F1281">
        <f t="shared" si="38"/>
        <v>12</v>
      </c>
      <c r="G1281">
        <f t="shared" si="39"/>
        <v>2013</v>
      </c>
    </row>
    <row r="1282" spans="1:7" ht="24" x14ac:dyDescent="0.25">
      <c r="A1282" s="2" t="s">
        <v>3707</v>
      </c>
      <c r="B1282" s="2" t="s">
        <v>425</v>
      </c>
      <c r="C1282" s="2" t="s">
        <v>3708</v>
      </c>
      <c r="D1282" s="2" t="s">
        <v>3709</v>
      </c>
      <c r="E1282" s="3">
        <v>41625</v>
      </c>
      <c r="F1282">
        <f t="shared" si="38"/>
        <v>12</v>
      </c>
      <c r="G1282">
        <f t="shared" si="39"/>
        <v>2013</v>
      </c>
    </row>
    <row r="1283" spans="1:7" x14ac:dyDescent="0.25">
      <c r="A1283" s="2" t="s">
        <v>3710</v>
      </c>
      <c r="B1283" s="2" t="s">
        <v>3711</v>
      </c>
      <c r="C1283" s="2" t="s">
        <v>3712</v>
      </c>
      <c r="D1283" s="2" t="s">
        <v>3713</v>
      </c>
      <c r="E1283" s="3">
        <v>41625</v>
      </c>
      <c r="F1283">
        <f t="shared" ref="F1283:F1346" si="40">MONTH(E1283)</f>
        <v>12</v>
      </c>
      <c r="G1283">
        <f t="shared" ref="G1283:G1346" si="41">YEAR(E1283)</f>
        <v>2013</v>
      </c>
    </row>
    <row r="1284" spans="1:7" x14ac:dyDescent="0.25">
      <c r="A1284" s="2" t="s">
        <v>866</v>
      </c>
      <c r="B1284" s="2" t="s">
        <v>3714</v>
      </c>
      <c r="C1284" s="2" t="s">
        <v>3715</v>
      </c>
      <c r="D1284" s="2" t="s">
        <v>3716</v>
      </c>
      <c r="E1284" s="3">
        <v>41625</v>
      </c>
      <c r="F1284">
        <f t="shared" si="40"/>
        <v>12</v>
      </c>
      <c r="G1284">
        <f t="shared" si="41"/>
        <v>2013</v>
      </c>
    </row>
    <row r="1285" spans="1:7" x14ac:dyDescent="0.25">
      <c r="A1285" s="2" t="s">
        <v>3717</v>
      </c>
      <c r="B1285" s="2" t="s">
        <v>3718</v>
      </c>
      <c r="C1285" s="2" t="s">
        <v>3719</v>
      </c>
      <c r="D1285" s="2" t="s">
        <v>3720</v>
      </c>
      <c r="E1285" s="3">
        <v>41625</v>
      </c>
      <c r="F1285">
        <f t="shared" si="40"/>
        <v>12</v>
      </c>
      <c r="G1285">
        <f t="shared" si="41"/>
        <v>2013</v>
      </c>
    </row>
    <row r="1286" spans="1:7" x14ac:dyDescent="0.25">
      <c r="A1286" s="2" t="s">
        <v>3721</v>
      </c>
      <c r="B1286" s="2" t="s">
        <v>3722</v>
      </c>
      <c r="C1286" s="2" t="s">
        <v>3723</v>
      </c>
      <c r="D1286" s="2" t="s">
        <v>3724</v>
      </c>
      <c r="E1286" s="3">
        <v>41625</v>
      </c>
      <c r="F1286">
        <f t="shared" si="40"/>
        <v>12</v>
      </c>
      <c r="G1286">
        <f t="shared" si="41"/>
        <v>2013</v>
      </c>
    </row>
    <row r="1287" spans="1:7" x14ac:dyDescent="0.25">
      <c r="A1287" s="2" t="s">
        <v>734</v>
      </c>
      <c r="B1287" s="2" t="s">
        <v>3282</v>
      </c>
      <c r="C1287" s="2" t="s">
        <v>3725</v>
      </c>
      <c r="D1287" s="2" t="s">
        <v>3726</v>
      </c>
      <c r="E1287" s="3">
        <v>41588</v>
      </c>
      <c r="F1287">
        <f t="shared" si="40"/>
        <v>11</v>
      </c>
      <c r="G1287">
        <f t="shared" si="41"/>
        <v>2013</v>
      </c>
    </row>
    <row r="1288" spans="1:7" x14ac:dyDescent="0.25">
      <c r="A1288" s="2" t="s">
        <v>3727</v>
      </c>
      <c r="B1288" s="2" t="s">
        <v>3728</v>
      </c>
      <c r="C1288" s="2" t="s">
        <v>3729</v>
      </c>
      <c r="D1288" s="2" t="s">
        <v>3730</v>
      </c>
      <c r="E1288" s="3">
        <v>41586</v>
      </c>
      <c r="F1288">
        <f t="shared" si="40"/>
        <v>11</v>
      </c>
      <c r="G1288">
        <f t="shared" si="41"/>
        <v>2013</v>
      </c>
    </row>
    <row r="1289" spans="1:7" x14ac:dyDescent="0.25">
      <c r="A1289" s="2" t="s">
        <v>208</v>
      </c>
      <c r="B1289" s="2" t="s">
        <v>381</v>
      </c>
      <c r="C1289" s="2" t="s">
        <v>3731</v>
      </c>
      <c r="D1289" s="2" t="s">
        <v>3732</v>
      </c>
      <c r="E1289" s="3">
        <v>41584</v>
      </c>
      <c r="F1289">
        <f t="shared" si="40"/>
        <v>11</v>
      </c>
      <c r="G1289">
        <f t="shared" si="41"/>
        <v>2013</v>
      </c>
    </row>
    <row r="1290" spans="1:7" x14ac:dyDescent="0.25">
      <c r="A1290" s="2" t="s">
        <v>3733</v>
      </c>
      <c r="B1290" s="2" t="s">
        <v>1400</v>
      </c>
      <c r="C1290" s="2" t="s">
        <v>42</v>
      </c>
      <c r="D1290" s="2" t="s">
        <v>3734</v>
      </c>
      <c r="E1290" s="3">
        <v>41582</v>
      </c>
      <c r="F1290">
        <f t="shared" si="40"/>
        <v>11</v>
      </c>
      <c r="G1290">
        <f t="shared" si="41"/>
        <v>2013</v>
      </c>
    </row>
    <row r="1291" spans="1:7" x14ac:dyDescent="0.25">
      <c r="A1291" s="2" t="s">
        <v>3735</v>
      </c>
      <c r="B1291" s="2" t="s">
        <v>105</v>
      </c>
      <c r="C1291" s="2" t="s">
        <v>27</v>
      </c>
      <c r="D1291" s="2" t="s">
        <v>124</v>
      </c>
      <c r="E1291" s="3">
        <v>41575</v>
      </c>
      <c r="F1291">
        <f t="shared" si="40"/>
        <v>10</v>
      </c>
      <c r="G1291">
        <f t="shared" si="41"/>
        <v>2013</v>
      </c>
    </row>
    <row r="1292" spans="1:7" ht="24" x14ac:dyDescent="0.25">
      <c r="A1292" s="2" t="s">
        <v>1907</v>
      </c>
      <c r="B1292" s="2" t="s">
        <v>181</v>
      </c>
      <c r="C1292" s="2" t="s">
        <v>3512</v>
      </c>
      <c r="D1292" s="2" t="s">
        <v>168</v>
      </c>
      <c r="E1292" s="3">
        <v>41571</v>
      </c>
      <c r="F1292">
        <f t="shared" si="40"/>
        <v>10</v>
      </c>
      <c r="G1292">
        <f t="shared" si="41"/>
        <v>2013</v>
      </c>
    </row>
    <row r="1293" spans="1:7" x14ac:dyDescent="0.25">
      <c r="A1293" s="2" t="s">
        <v>3736</v>
      </c>
      <c r="B1293" s="2" t="s">
        <v>3737</v>
      </c>
      <c r="C1293" s="2" t="s">
        <v>3738</v>
      </c>
      <c r="D1293" s="2" t="s">
        <v>2711</v>
      </c>
      <c r="E1293" s="3">
        <v>41571</v>
      </c>
      <c r="F1293">
        <f t="shared" si="40"/>
        <v>10</v>
      </c>
      <c r="G1293">
        <f t="shared" si="41"/>
        <v>2013</v>
      </c>
    </row>
    <row r="1294" spans="1:7" x14ac:dyDescent="0.25">
      <c r="A1294" s="2" t="s">
        <v>3739</v>
      </c>
      <c r="B1294" s="2" t="s">
        <v>3740</v>
      </c>
      <c r="C1294" s="2" t="s">
        <v>3741</v>
      </c>
      <c r="D1294" s="2" t="s">
        <v>3742</v>
      </c>
      <c r="E1294" s="3">
        <v>41542</v>
      </c>
      <c r="F1294">
        <f t="shared" si="40"/>
        <v>9</v>
      </c>
      <c r="G1294">
        <f t="shared" si="41"/>
        <v>2013</v>
      </c>
    </row>
    <row r="1295" spans="1:7" x14ac:dyDescent="0.25">
      <c r="A1295" s="2" t="s">
        <v>3743</v>
      </c>
      <c r="B1295" s="2" t="s">
        <v>3744</v>
      </c>
      <c r="C1295" s="2" t="s">
        <v>11</v>
      </c>
      <c r="D1295" s="2" t="s">
        <v>3745</v>
      </c>
      <c r="E1295" s="3">
        <v>41540</v>
      </c>
      <c r="F1295">
        <f t="shared" si="40"/>
        <v>9</v>
      </c>
      <c r="G1295">
        <f t="shared" si="41"/>
        <v>2013</v>
      </c>
    </row>
    <row r="1296" spans="1:7" x14ac:dyDescent="0.25">
      <c r="A1296" s="2" t="s">
        <v>3746</v>
      </c>
      <c r="B1296" s="2" t="s">
        <v>3747</v>
      </c>
      <c r="C1296" s="2" t="s">
        <v>3538</v>
      </c>
      <c r="D1296" s="2" t="s">
        <v>3748</v>
      </c>
      <c r="E1296" s="3">
        <v>41538</v>
      </c>
      <c r="F1296">
        <f t="shared" si="40"/>
        <v>9</v>
      </c>
      <c r="G1296">
        <f t="shared" si="41"/>
        <v>2013</v>
      </c>
    </row>
    <row r="1297" spans="1:7" x14ac:dyDescent="0.25">
      <c r="A1297" s="2" t="s">
        <v>197</v>
      </c>
      <c r="B1297" s="2" t="s">
        <v>3749</v>
      </c>
      <c r="C1297" s="2" t="s">
        <v>3750</v>
      </c>
      <c r="D1297" s="2" t="s">
        <v>3751</v>
      </c>
      <c r="E1297" s="3">
        <v>41538</v>
      </c>
      <c r="F1297">
        <f t="shared" si="40"/>
        <v>9</v>
      </c>
      <c r="G1297">
        <f t="shared" si="41"/>
        <v>2013</v>
      </c>
    </row>
    <row r="1298" spans="1:7" x14ac:dyDescent="0.25">
      <c r="A1298" s="2" t="s">
        <v>294</v>
      </c>
      <c r="B1298" s="2" t="s">
        <v>684</v>
      </c>
      <c r="C1298" s="2" t="s">
        <v>3752</v>
      </c>
      <c r="D1298" s="2" t="s">
        <v>3753</v>
      </c>
      <c r="E1298" s="3">
        <v>41537</v>
      </c>
      <c r="F1298">
        <f t="shared" si="40"/>
        <v>9</v>
      </c>
      <c r="G1298">
        <f t="shared" si="41"/>
        <v>2013</v>
      </c>
    </row>
    <row r="1299" spans="1:7" x14ac:dyDescent="0.25">
      <c r="A1299" s="2" t="s">
        <v>3754</v>
      </c>
      <c r="B1299" s="2" t="s">
        <v>2377</v>
      </c>
      <c r="C1299" s="2" t="s">
        <v>508</v>
      </c>
      <c r="D1299" s="2" t="s">
        <v>124</v>
      </c>
      <c r="E1299" s="3">
        <v>41537</v>
      </c>
      <c r="F1299">
        <f t="shared" si="40"/>
        <v>9</v>
      </c>
      <c r="G1299">
        <f t="shared" si="41"/>
        <v>2013</v>
      </c>
    </row>
    <row r="1300" spans="1:7" ht="36" x14ac:dyDescent="0.25">
      <c r="A1300" s="2" t="s">
        <v>3755</v>
      </c>
      <c r="B1300" s="2" t="s">
        <v>3756</v>
      </c>
      <c r="C1300" s="2" t="s">
        <v>3757</v>
      </c>
      <c r="D1300" s="2" t="s">
        <v>3758</v>
      </c>
      <c r="E1300" s="3">
        <v>41537</v>
      </c>
      <c r="F1300">
        <f t="shared" si="40"/>
        <v>9</v>
      </c>
      <c r="G1300">
        <f t="shared" si="41"/>
        <v>2013</v>
      </c>
    </row>
    <row r="1301" spans="1:7" x14ac:dyDescent="0.25">
      <c r="A1301" s="2" t="s">
        <v>2023</v>
      </c>
      <c r="B1301" s="2" t="s">
        <v>3759</v>
      </c>
      <c r="C1301" s="2" t="s">
        <v>3760</v>
      </c>
      <c r="D1301" s="2" t="s">
        <v>3761</v>
      </c>
      <c r="E1301" s="3">
        <v>41446</v>
      </c>
      <c r="F1301">
        <f t="shared" si="40"/>
        <v>6</v>
      </c>
      <c r="G1301">
        <f t="shared" si="41"/>
        <v>2013</v>
      </c>
    </row>
    <row r="1302" spans="1:7" x14ac:dyDescent="0.25">
      <c r="A1302" s="2" t="s">
        <v>3762</v>
      </c>
      <c r="B1302" s="2" t="s">
        <v>3763</v>
      </c>
      <c r="C1302" s="2" t="s">
        <v>3764</v>
      </c>
      <c r="D1302" s="2" t="s">
        <v>3765</v>
      </c>
      <c r="E1302" s="3">
        <v>41408</v>
      </c>
      <c r="F1302">
        <f t="shared" si="40"/>
        <v>5</v>
      </c>
      <c r="G1302">
        <f t="shared" si="41"/>
        <v>2013</v>
      </c>
    </row>
    <row r="1303" spans="1:7" ht="24" x14ac:dyDescent="0.25">
      <c r="A1303" s="2" t="s">
        <v>3766</v>
      </c>
      <c r="B1303" s="2" t="s">
        <v>3767</v>
      </c>
      <c r="C1303" s="2" t="s">
        <v>3768</v>
      </c>
      <c r="D1303" s="2" t="s">
        <v>670</v>
      </c>
      <c r="E1303" s="3">
        <v>41406</v>
      </c>
      <c r="F1303">
        <f t="shared" si="40"/>
        <v>5</v>
      </c>
      <c r="G1303">
        <f t="shared" si="41"/>
        <v>2013</v>
      </c>
    </row>
    <row r="1304" spans="1:7" x14ac:dyDescent="0.25">
      <c r="A1304" s="2" t="s">
        <v>3588</v>
      </c>
      <c r="B1304" s="2" t="s">
        <v>2670</v>
      </c>
      <c r="C1304" s="2" t="s">
        <v>3769</v>
      </c>
      <c r="D1304" s="2" t="s">
        <v>2211</v>
      </c>
      <c r="E1304" s="3">
        <v>41386</v>
      </c>
      <c r="F1304">
        <f t="shared" si="40"/>
        <v>4</v>
      </c>
      <c r="G1304">
        <f t="shared" si="41"/>
        <v>2013</v>
      </c>
    </row>
    <row r="1305" spans="1:7" x14ac:dyDescent="0.25">
      <c r="A1305" s="2" t="s">
        <v>3770</v>
      </c>
      <c r="B1305" s="2" t="s">
        <v>3771</v>
      </c>
      <c r="C1305" s="2" t="s">
        <v>3772</v>
      </c>
      <c r="D1305" s="2" t="s">
        <v>3773</v>
      </c>
      <c r="E1305" s="3">
        <v>41381</v>
      </c>
      <c r="F1305">
        <f t="shared" si="40"/>
        <v>4</v>
      </c>
      <c r="G1305">
        <f t="shared" si="41"/>
        <v>2013</v>
      </c>
    </row>
    <row r="1306" spans="1:7" x14ac:dyDescent="0.25">
      <c r="A1306" s="2" t="s">
        <v>755</v>
      </c>
      <c r="B1306" s="2" t="s">
        <v>232</v>
      </c>
      <c r="C1306" s="2" t="s">
        <v>3774</v>
      </c>
      <c r="D1306" s="2" t="s">
        <v>2439</v>
      </c>
      <c r="E1306" s="3">
        <v>41373</v>
      </c>
      <c r="F1306">
        <f t="shared" si="40"/>
        <v>4</v>
      </c>
      <c r="G1306">
        <f t="shared" si="41"/>
        <v>2013</v>
      </c>
    </row>
    <row r="1307" spans="1:7" x14ac:dyDescent="0.25">
      <c r="A1307" s="2" t="s">
        <v>3775</v>
      </c>
      <c r="B1307" s="2" t="s">
        <v>147</v>
      </c>
      <c r="C1307" s="2" t="s">
        <v>3776</v>
      </c>
      <c r="D1307" s="2" t="s">
        <v>572</v>
      </c>
      <c r="E1307" s="3">
        <v>41367</v>
      </c>
      <c r="F1307">
        <f t="shared" si="40"/>
        <v>4</v>
      </c>
      <c r="G1307">
        <f t="shared" si="41"/>
        <v>2013</v>
      </c>
    </row>
    <row r="1308" spans="1:7" ht="24" x14ac:dyDescent="0.25">
      <c r="A1308" s="2" t="s">
        <v>3777</v>
      </c>
      <c r="B1308" s="2" t="s">
        <v>3778</v>
      </c>
      <c r="C1308" s="2" t="s">
        <v>3779</v>
      </c>
      <c r="D1308" s="2" t="s">
        <v>3780</v>
      </c>
      <c r="E1308" s="3">
        <v>41366</v>
      </c>
      <c r="F1308">
        <f t="shared" si="40"/>
        <v>4</v>
      </c>
      <c r="G1308">
        <f t="shared" si="41"/>
        <v>2013</v>
      </c>
    </row>
    <row r="1309" spans="1:7" x14ac:dyDescent="0.25">
      <c r="A1309" s="2" t="s">
        <v>3781</v>
      </c>
      <c r="B1309" s="2" t="s">
        <v>3782</v>
      </c>
      <c r="C1309" s="2" t="s">
        <v>3783</v>
      </c>
      <c r="D1309" s="2" t="s">
        <v>3784</v>
      </c>
      <c r="E1309" s="3">
        <v>41366</v>
      </c>
      <c r="F1309">
        <f t="shared" si="40"/>
        <v>4</v>
      </c>
      <c r="G1309">
        <f t="shared" si="41"/>
        <v>2013</v>
      </c>
    </row>
    <row r="1310" spans="1:7" x14ac:dyDescent="0.25">
      <c r="A1310" s="2" t="s">
        <v>3785</v>
      </c>
      <c r="B1310" s="2" t="s">
        <v>3786</v>
      </c>
      <c r="C1310" s="2" t="s">
        <v>490</v>
      </c>
      <c r="D1310" s="2" t="s">
        <v>3787</v>
      </c>
      <c r="E1310" s="3">
        <v>41366</v>
      </c>
      <c r="F1310">
        <f t="shared" si="40"/>
        <v>4</v>
      </c>
      <c r="G1310">
        <f t="shared" si="41"/>
        <v>2013</v>
      </c>
    </row>
    <row r="1311" spans="1:7" ht="24" x14ac:dyDescent="0.25">
      <c r="A1311" s="2" t="s">
        <v>723</v>
      </c>
      <c r="B1311" s="2" t="s">
        <v>1779</v>
      </c>
      <c r="C1311" s="2" t="s">
        <v>11</v>
      </c>
      <c r="D1311" s="2" t="s">
        <v>3788</v>
      </c>
      <c r="E1311" s="3">
        <v>41362</v>
      </c>
      <c r="F1311">
        <f t="shared" si="40"/>
        <v>3</v>
      </c>
      <c r="G1311">
        <f t="shared" si="41"/>
        <v>2013</v>
      </c>
    </row>
    <row r="1312" spans="1:7" ht="36" x14ac:dyDescent="0.25">
      <c r="A1312" s="2" t="s">
        <v>3789</v>
      </c>
      <c r="B1312" s="2" t="s">
        <v>3790</v>
      </c>
      <c r="C1312" s="2" t="s">
        <v>3791</v>
      </c>
      <c r="D1312" s="2" t="s">
        <v>3792</v>
      </c>
      <c r="E1312" s="3">
        <v>41346</v>
      </c>
      <c r="F1312">
        <f t="shared" si="40"/>
        <v>3</v>
      </c>
      <c r="G1312">
        <f t="shared" si="41"/>
        <v>2013</v>
      </c>
    </row>
    <row r="1313" spans="1:7" x14ac:dyDescent="0.25">
      <c r="A1313" s="2" t="s">
        <v>3793</v>
      </c>
      <c r="B1313" s="2" t="s">
        <v>3794</v>
      </c>
      <c r="C1313" s="2" t="s">
        <v>3795</v>
      </c>
      <c r="D1313" s="2" t="s">
        <v>670</v>
      </c>
      <c r="E1313" s="3">
        <v>41342</v>
      </c>
      <c r="F1313">
        <f t="shared" si="40"/>
        <v>3</v>
      </c>
      <c r="G1313">
        <f t="shared" si="41"/>
        <v>2013</v>
      </c>
    </row>
    <row r="1314" spans="1:7" x14ac:dyDescent="0.25">
      <c r="A1314" s="2" t="s">
        <v>463</v>
      </c>
      <c r="B1314" s="2" t="s">
        <v>3796</v>
      </c>
      <c r="C1314" s="2" t="s">
        <v>3797</v>
      </c>
      <c r="D1314" s="2" t="s">
        <v>365</v>
      </c>
      <c r="E1314" s="3">
        <v>41329</v>
      </c>
      <c r="F1314">
        <f t="shared" si="40"/>
        <v>2</v>
      </c>
      <c r="G1314">
        <f t="shared" si="41"/>
        <v>2013</v>
      </c>
    </row>
    <row r="1315" spans="1:7" ht="24" x14ac:dyDescent="0.25">
      <c r="A1315" s="2" t="s">
        <v>3798</v>
      </c>
      <c r="B1315" s="2" t="s">
        <v>3799</v>
      </c>
      <c r="C1315" s="2" t="s">
        <v>251</v>
      </c>
      <c r="D1315" s="2" t="s">
        <v>3800</v>
      </c>
      <c r="E1315" s="3">
        <v>41312</v>
      </c>
      <c r="F1315">
        <f t="shared" si="40"/>
        <v>2</v>
      </c>
      <c r="G1315">
        <f t="shared" si="41"/>
        <v>2013</v>
      </c>
    </row>
    <row r="1316" spans="1:7" ht="24" x14ac:dyDescent="0.25">
      <c r="A1316" s="2" t="s">
        <v>3801</v>
      </c>
      <c r="B1316" s="2" t="s">
        <v>3802</v>
      </c>
      <c r="C1316" s="2" t="s">
        <v>3803</v>
      </c>
      <c r="D1316" s="2" t="s">
        <v>3804</v>
      </c>
      <c r="E1316" s="3">
        <v>41288</v>
      </c>
      <c r="F1316">
        <f t="shared" si="40"/>
        <v>1</v>
      </c>
      <c r="G1316">
        <f t="shared" si="41"/>
        <v>2013</v>
      </c>
    </row>
    <row r="1317" spans="1:7" x14ac:dyDescent="0.25">
      <c r="A1317" s="2" t="s">
        <v>3805</v>
      </c>
      <c r="B1317" s="2" t="s">
        <v>3806</v>
      </c>
      <c r="C1317" s="2" t="s">
        <v>3807</v>
      </c>
      <c r="D1317" s="2" t="s">
        <v>3808</v>
      </c>
      <c r="E1317" s="3">
        <v>41271</v>
      </c>
      <c r="F1317">
        <f t="shared" si="40"/>
        <v>12</v>
      </c>
      <c r="G1317">
        <f t="shared" si="41"/>
        <v>2012</v>
      </c>
    </row>
    <row r="1318" spans="1:7" x14ac:dyDescent="0.25">
      <c r="A1318" s="2" t="s">
        <v>3809</v>
      </c>
      <c r="B1318" s="2" t="s">
        <v>181</v>
      </c>
      <c r="C1318" s="2" t="s">
        <v>3810</v>
      </c>
      <c r="D1318" s="2" t="s">
        <v>3811</v>
      </c>
      <c r="E1318" s="3">
        <v>41229</v>
      </c>
      <c r="F1318">
        <f t="shared" si="40"/>
        <v>11</v>
      </c>
      <c r="G1318">
        <f t="shared" si="41"/>
        <v>2012</v>
      </c>
    </row>
    <row r="1319" spans="1:7" x14ac:dyDescent="0.25">
      <c r="A1319" s="2" t="s">
        <v>3812</v>
      </c>
      <c r="B1319" s="2" t="s">
        <v>223</v>
      </c>
      <c r="C1319" s="2" t="s">
        <v>3813</v>
      </c>
      <c r="D1319" s="2" t="s">
        <v>3814</v>
      </c>
      <c r="E1319" s="3">
        <v>41189</v>
      </c>
      <c r="F1319">
        <f t="shared" si="40"/>
        <v>10</v>
      </c>
      <c r="G1319">
        <f t="shared" si="41"/>
        <v>2012</v>
      </c>
    </row>
    <row r="1320" spans="1:7" ht="24" x14ac:dyDescent="0.25">
      <c r="A1320" s="2" t="s">
        <v>772</v>
      </c>
      <c r="B1320" s="2" t="s">
        <v>3815</v>
      </c>
      <c r="C1320" s="2" t="s">
        <v>3816</v>
      </c>
      <c r="D1320" s="2" t="s">
        <v>3817</v>
      </c>
      <c r="E1320" s="3">
        <v>41169</v>
      </c>
      <c r="F1320">
        <f t="shared" si="40"/>
        <v>9</v>
      </c>
      <c r="G1320">
        <f t="shared" si="41"/>
        <v>2012</v>
      </c>
    </row>
    <row r="1321" spans="1:7" x14ac:dyDescent="0.25">
      <c r="A1321" s="2" t="s">
        <v>3818</v>
      </c>
      <c r="B1321" s="2" t="s">
        <v>3436</v>
      </c>
      <c r="C1321" s="2" t="s">
        <v>23</v>
      </c>
      <c r="D1321" s="2" t="s">
        <v>24</v>
      </c>
      <c r="E1321" s="3">
        <v>41043</v>
      </c>
      <c r="F1321">
        <f t="shared" si="40"/>
        <v>5</v>
      </c>
      <c r="G1321">
        <f t="shared" si="41"/>
        <v>2012</v>
      </c>
    </row>
    <row r="1322" spans="1:7" ht="36" x14ac:dyDescent="0.25">
      <c r="A1322" s="2" t="s">
        <v>3819</v>
      </c>
      <c r="B1322" s="2" t="s">
        <v>3820</v>
      </c>
      <c r="C1322" s="2" t="s">
        <v>2722</v>
      </c>
      <c r="D1322" s="2" t="s">
        <v>3821</v>
      </c>
      <c r="E1322" s="3">
        <v>41032</v>
      </c>
      <c r="F1322">
        <f t="shared" si="40"/>
        <v>5</v>
      </c>
      <c r="G1322">
        <f t="shared" si="41"/>
        <v>2012</v>
      </c>
    </row>
    <row r="1323" spans="1:7" x14ac:dyDescent="0.25">
      <c r="A1323" s="2" t="s">
        <v>3822</v>
      </c>
      <c r="B1323" s="2" t="s">
        <v>3823</v>
      </c>
      <c r="C1323" s="2" t="s">
        <v>3698</v>
      </c>
      <c r="D1323" s="2" t="s">
        <v>3517</v>
      </c>
      <c r="E1323" s="3">
        <v>41029</v>
      </c>
      <c r="F1323">
        <f t="shared" si="40"/>
        <v>4</v>
      </c>
      <c r="G1323">
        <f t="shared" si="41"/>
        <v>2012</v>
      </c>
    </row>
    <row r="1324" spans="1:7" x14ac:dyDescent="0.25">
      <c r="A1324" s="2" t="s">
        <v>3824</v>
      </c>
      <c r="B1324" s="2" t="s">
        <v>3825</v>
      </c>
      <c r="C1324" s="2" t="s">
        <v>251</v>
      </c>
      <c r="D1324" s="2" t="s">
        <v>664</v>
      </c>
      <c r="E1324" s="3">
        <v>41024</v>
      </c>
      <c r="F1324">
        <f t="shared" si="40"/>
        <v>4</v>
      </c>
      <c r="G1324">
        <f t="shared" si="41"/>
        <v>2012</v>
      </c>
    </row>
    <row r="1325" spans="1:7" x14ac:dyDescent="0.25">
      <c r="A1325" s="2" t="s">
        <v>530</v>
      </c>
      <c r="B1325" s="2" t="s">
        <v>151</v>
      </c>
      <c r="C1325" s="2" t="s">
        <v>440</v>
      </c>
      <c r="D1325" s="2" t="s">
        <v>3826</v>
      </c>
      <c r="E1325" s="3">
        <v>41022</v>
      </c>
      <c r="F1325">
        <f t="shared" si="40"/>
        <v>4</v>
      </c>
      <c r="G1325">
        <f t="shared" si="41"/>
        <v>2012</v>
      </c>
    </row>
    <row r="1326" spans="1:7" x14ac:dyDescent="0.25">
      <c r="A1326" s="2" t="s">
        <v>3827</v>
      </c>
      <c r="B1326" s="2" t="s">
        <v>978</v>
      </c>
      <c r="C1326" s="2" t="s">
        <v>3828</v>
      </c>
      <c r="D1326" s="2" t="s">
        <v>191</v>
      </c>
      <c r="E1326" s="3">
        <v>41019</v>
      </c>
      <c r="F1326">
        <f t="shared" si="40"/>
        <v>4</v>
      </c>
      <c r="G1326">
        <f t="shared" si="41"/>
        <v>2012</v>
      </c>
    </row>
    <row r="1327" spans="1:7" x14ac:dyDescent="0.25">
      <c r="A1327" s="2" t="s">
        <v>3829</v>
      </c>
      <c r="B1327" s="2" t="s">
        <v>3830</v>
      </c>
      <c r="C1327" s="2" t="s">
        <v>3831</v>
      </c>
      <c r="D1327" s="2" t="s">
        <v>3832</v>
      </c>
      <c r="E1327" s="3">
        <v>41006</v>
      </c>
      <c r="F1327">
        <f t="shared" si="40"/>
        <v>4</v>
      </c>
      <c r="G1327">
        <f t="shared" si="41"/>
        <v>2012</v>
      </c>
    </row>
    <row r="1328" spans="1:7" x14ac:dyDescent="0.25">
      <c r="A1328" s="2" t="s">
        <v>3833</v>
      </c>
      <c r="B1328" s="2" t="s">
        <v>3834</v>
      </c>
      <c r="C1328" s="2" t="s">
        <v>3835</v>
      </c>
      <c r="D1328" s="2" t="s">
        <v>74</v>
      </c>
      <c r="E1328" s="3">
        <v>40997</v>
      </c>
      <c r="F1328">
        <f t="shared" si="40"/>
        <v>3</v>
      </c>
      <c r="G1328">
        <f t="shared" si="41"/>
        <v>2012</v>
      </c>
    </row>
    <row r="1329" spans="1:7" x14ac:dyDescent="0.25">
      <c r="A1329" s="2" t="s">
        <v>3836</v>
      </c>
      <c r="B1329" s="2" t="s">
        <v>3837</v>
      </c>
      <c r="C1329" s="2" t="s">
        <v>3066</v>
      </c>
      <c r="D1329" s="2" t="s">
        <v>3838</v>
      </c>
      <c r="E1329" s="3">
        <v>40996</v>
      </c>
      <c r="F1329">
        <f t="shared" si="40"/>
        <v>3</v>
      </c>
      <c r="G1329">
        <f t="shared" si="41"/>
        <v>2012</v>
      </c>
    </row>
    <row r="1330" spans="1:7" x14ac:dyDescent="0.25">
      <c r="A1330" s="2" t="s">
        <v>294</v>
      </c>
      <c r="B1330" s="2" t="s">
        <v>3839</v>
      </c>
      <c r="C1330" s="2" t="s">
        <v>3840</v>
      </c>
      <c r="D1330" s="2" t="s">
        <v>3841</v>
      </c>
      <c r="E1330" s="3">
        <v>40996</v>
      </c>
      <c r="F1330">
        <f t="shared" si="40"/>
        <v>3</v>
      </c>
      <c r="G1330">
        <f t="shared" si="41"/>
        <v>2012</v>
      </c>
    </row>
    <row r="1331" spans="1:7" x14ac:dyDescent="0.25">
      <c r="A1331" s="2" t="s">
        <v>67</v>
      </c>
      <c r="B1331" s="2" t="s">
        <v>3842</v>
      </c>
      <c r="C1331" s="2" t="s">
        <v>3843</v>
      </c>
      <c r="D1331" s="2" t="s">
        <v>3844</v>
      </c>
      <c r="E1331" s="3">
        <v>40986</v>
      </c>
      <c r="F1331">
        <f t="shared" si="40"/>
        <v>3</v>
      </c>
      <c r="G1331">
        <f t="shared" si="41"/>
        <v>2012</v>
      </c>
    </row>
    <row r="1332" spans="1:7" ht="24" x14ac:dyDescent="0.25">
      <c r="A1332" s="2" t="s">
        <v>3845</v>
      </c>
      <c r="B1332" s="2" t="s">
        <v>3846</v>
      </c>
      <c r="C1332" s="2" t="s">
        <v>3847</v>
      </c>
      <c r="D1332" s="2" t="s">
        <v>3848</v>
      </c>
      <c r="E1332" s="3">
        <v>40985</v>
      </c>
      <c r="F1332">
        <f t="shared" si="40"/>
        <v>3</v>
      </c>
      <c r="G1332">
        <f t="shared" si="41"/>
        <v>2012</v>
      </c>
    </row>
    <row r="1333" spans="1:7" x14ac:dyDescent="0.25">
      <c r="A1333" s="2" t="s">
        <v>333</v>
      </c>
      <c r="B1333" s="2" t="s">
        <v>3849</v>
      </c>
      <c r="C1333" s="2" t="s">
        <v>3738</v>
      </c>
      <c r="D1333" s="2" t="s">
        <v>3850</v>
      </c>
      <c r="E1333" s="3">
        <v>40980</v>
      </c>
      <c r="F1333">
        <f t="shared" si="40"/>
        <v>3</v>
      </c>
      <c r="G1333">
        <f t="shared" si="41"/>
        <v>2012</v>
      </c>
    </row>
    <row r="1334" spans="1:7" x14ac:dyDescent="0.25">
      <c r="A1334" s="2" t="s">
        <v>772</v>
      </c>
      <c r="B1334" s="2" t="s">
        <v>3837</v>
      </c>
      <c r="C1334" s="2" t="s">
        <v>3851</v>
      </c>
      <c r="D1334" s="2" t="s">
        <v>3852</v>
      </c>
      <c r="E1334" s="3">
        <v>40974</v>
      </c>
      <c r="F1334">
        <f t="shared" si="40"/>
        <v>3</v>
      </c>
      <c r="G1334">
        <f t="shared" si="41"/>
        <v>2012</v>
      </c>
    </row>
    <row r="1335" spans="1:7" ht="24" x14ac:dyDescent="0.25">
      <c r="A1335" s="2" t="s">
        <v>3853</v>
      </c>
      <c r="B1335" s="2" t="s">
        <v>1572</v>
      </c>
      <c r="C1335" s="2" t="s">
        <v>3854</v>
      </c>
      <c r="D1335" s="2" t="s">
        <v>311</v>
      </c>
      <c r="E1335" s="3">
        <v>40950</v>
      </c>
      <c r="F1335">
        <f t="shared" si="40"/>
        <v>2</v>
      </c>
      <c r="G1335">
        <f t="shared" si="41"/>
        <v>2012</v>
      </c>
    </row>
    <row r="1336" spans="1:7" x14ac:dyDescent="0.25">
      <c r="A1336" s="2" t="s">
        <v>3855</v>
      </c>
      <c r="B1336" s="2" t="s">
        <v>3856</v>
      </c>
      <c r="C1336" s="2" t="s">
        <v>3857</v>
      </c>
      <c r="D1336" s="2" t="s">
        <v>3858</v>
      </c>
      <c r="E1336" s="3">
        <v>40949</v>
      </c>
      <c r="F1336">
        <f t="shared" si="40"/>
        <v>2</v>
      </c>
      <c r="G1336">
        <f t="shared" si="41"/>
        <v>2012</v>
      </c>
    </row>
    <row r="1337" spans="1:7" x14ac:dyDescent="0.25">
      <c r="A1337" s="2" t="s">
        <v>133</v>
      </c>
      <c r="B1337" s="2" t="s">
        <v>1041</v>
      </c>
      <c r="C1337" s="2" t="s">
        <v>3859</v>
      </c>
      <c r="D1337" s="2" t="s">
        <v>141</v>
      </c>
      <c r="E1337" s="3">
        <v>40939</v>
      </c>
      <c r="F1337">
        <f t="shared" si="40"/>
        <v>1</v>
      </c>
      <c r="G1337">
        <f t="shared" si="41"/>
        <v>2012</v>
      </c>
    </row>
    <row r="1338" spans="1:7" x14ac:dyDescent="0.25">
      <c r="A1338" s="2" t="s">
        <v>3860</v>
      </c>
      <c r="B1338" s="2" t="s">
        <v>3861</v>
      </c>
      <c r="C1338" s="2" t="s">
        <v>490</v>
      </c>
      <c r="D1338" s="2" t="s">
        <v>2557</v>
      </c>
      <c r="E1338" s="3">
        <v>40939</v>
      </c>
      <c r="F1338">
        <f t="shared" si="40"/>
        <v>1</v>
      </c>
      <c r="G1338">
        <f t="shared" si="41"/>
        <v>2012</v>
      </c>
    </row>
    <row r="1339" spans="1:7" x14ac:dyDescent="0.25">
      <c r="A1339" s="2" t="s">
        <v>268</v>
      </c>
      <c r="B1339" s="2" t="s">
        <v>3862</v>
      </c>
      <c r="C1339" s="2" t="s">
        <v>3863</v>
      </c>
      <c r="D1339" s="2" t="s">
        <v>3864</v>
      </c>
      <c r="E1339" s="3">
        <v>40912</v>
      </c>
      <c r="F1339">
        <f t="shared" si="40"/>
        <v>1</v>
      </c>
      <c r="G1339">
        <f t="shared" si="41"/>
        <v>2012</v>
      </c>
    </row>
    <row r="1340" spans="1:7" x14ac:dyDescent="0.25">
      <c r="A1340" s="2" t="s">
        <v>2929</v>
      </c>
      <c r="B1340" s="2" t="s">
        <v>3865</v>
      </c>
      <c r="C1340" s="2" t="s">
        <v>576</v>
      </c>
      <c r="D1340" s="2" t="s">
        <v>3866</v>
      </c>
      <c r="E1340" s="3">
        <v>40900</v>
      </c>
      <c r="F1340">
        <f t="shared" si="40"/>
        <v>12</v>
      </c>
      <c r="G1340">
        <f t="shared" si="41"/>
        <v>2011</v>
      </c>
    </row>
    <row r="1341" spans="1:7" x14ac:dyDescent="0.25">
      <c r="A1341" s="2" t="s">
        <v>3867</v>
      </c>
      <c r="B1341" s="2" t="s">
        <v>3868</v>
      </c>
      <c r="C1341" s="2"/>
      <c r="D1341" s="2"/>
      <c r="E1341" s="3">
        <v>40892</v>
      </c>
      <c r="F1341">
        <f t="shared" si="40"/>
        <v>12</v>
      </c>
      <c r="G1341">
        <f t="shared" si="41"/>
        <v>2011</v>
      </c>
    </row>
    <row r="1342" spans="1:7" x14ac:dyDescent="0.25">
      <c r="A1342" s="2" t="s">
        <v>2863</v>
      </c>
      <c r="B1342" s="2" t="s">
        <v>3869</v>
      </c>
      <c r="C1342" s="2" t="s">
        <v>3870</v>
      </c>
      <c r="D1342" s="2" t="s">
        <v>191</v>
      </c>
      <c r="E1342" s="3">
        <v>40862</v>
      </c>
      <c r="F1342">
        <f t="shared" si="40"/>
        <v>11</v>
      </c>
      <c r="G1342">
        <f t="shared" si="41"/>
        <v>2011</v>
      </c>
    </row>
    <row r="1343" spans="1:7" x14ac:dyDescent="0.25">
      <c r="A1343" s="2" t="s">
        <v>3871</v>
      </c>
      <c r="B1343" s="2" t="s">
        <v>3872</v>
      </c>
      <c r="C1343" s="2" t="s">
        <v>3873</v>
      </c>
      <c r="D1343" s="2" t="s">
        <v>3874</v>
      </c>
      <c r="E1343" s="3">
        <v>40861</v>
      </c>
      <c r="F1343">
        <f t="shared" si="40"/>
        <v>11</v>
      </c>
      <c r="G1343">
        <f t="shared" si="41"/>
        <v>2011</v>
      </c>
    </row>
    <row r="1344" spans="1:7" x14ac:dyDescent="0.25">
      <c r="A1344" s="2" t="s">
        <v>3394</v>
      </c>
      <c r="B1344" s="2" t="s">
        <v>1126</v>
      </c>
      <c r="C1344" s="2" t="s">
        <v>3875</v>
      </c>
      <c r="D1344" s="2" t="s">
        <v>3876</v>
      </c>
      <c r="E1344" s="3">
        <v>40851</v>
      </c>
      <c r="F1344">
        <f t="shared" si="40"/>
        <v>11</v>
      </c>
      <c r="G1344">
        <f t="shared" si="41"/>
        <v>2011</v>
      </c>
    </row>
    <row r="1345" spans="1:7" x14ac:dyDescent="0.25">
      <c r="A1345" s="2" t="s">
        <v>2778</v>
      </c>
      <c r="B1345" s="2" t="s">
        <v>424</v>
      </c>
      <c r="C1345" s="2" t="s">
        <v>65</v>
      </c>
      <c r="D1345" s="2" t="s">
        <v>388</v>
      </c>
      <c r="E1345" s="3">
        <v>40851</v>
      </c>
      <c r="F1345">
        <f t="shared" si="40"/>
        <v>11</v>
      </c>
      <c r="G1345">
        <f t="shared" si="41"/>
        <v>2011</v>
      </c>
    </row>
    <row r="1346" spans="1:7" x14ac:dyDescent="0.25">
      <c r="A1346" s="2" t="s">
        <v>3877</v>
      </c>
      <c r="B1346" s="2" t="s">
        <v>181</v>
      </c>
      <c r="C1346" s="2" t="s">
        <v>3878</v>
      </c>
      <c r="D1346" s="2" t="s">
        <v>3879</v>
      </c>
      <c r="E1346" s="3">
        <v>40817</v>
      </c>
      <c r="F1346">
        <f t="shared" si="40"/>
        <v>10</v>
      </c>
      <c r="G1346">
        <f t="shared" si="41"/>
        <v>2011</v>
      </c>
    </row>
    <row r="1347" spans="1:7" x14ac:dyDescent="0.25">
      <c r="A1347" s="2" t="s">
        <v>3880</v>
      </c>
      <c r="B1347" s="2" t="s">
        <v>3881</v>
      </c>
      <c r="C1347" s="2" t="s">
        <v>3882</v>
      </c>
      <c r="D1347" s="2" t="s">
        <v>3883</v>
      </c>
      <c r="E1347" s="3">
        <v>40798</v>
      </c>
      <c r="F1347">
        <f t="shared" ref="F1347:F1410" si="42">MONTH(E1347)</f>
        <v>9</v>
      </c>
      <c r="G1347">
        <f t="shared" ref="G1347:G1410" si="43">YEAR(E1347)</f>
        <v>2011</v>
      </c>
    </row>
    <row r="1348" spans="1:7" x14ac:dyDescent="0.25">
      <c r="A1348" s="2" t="s">
        <v>48</v>
      </c>
      <c r="B1348" s="2" t="s">
        <v>3884</v>
      </c>
      <c r="C1348" s="2" t="s">
        <v>917</v>
      </c>
      <c r="D1348" s="2" t="s">
        <v>3885</v>
      </c>
      <c r="E1348" s="3">
        <v>40798</v>
      </c>
      <c r="F1348">
        <f t="shared" si="42"/>
        <v>9</v>
      </c>
      <c r="G1348">
        <f t="shared" si="43"/>
        <v>2011</v>
      </c>
    </row>
    <row r="1349" spans="1:7" x14ac:dyDescent="0.25">
      <c r="A1349" s="2" t="s">
        <v>734</v>
      </c>
      <c r="B1349" s="2" t="s">
        <v>3886</v>
      </c>
      <c r="C1349" s="2" t="s">
        <v>27</v>
      </c>
      <c r="D1349" s="2" t="s">
        <v>357</v>
      </c>
      <c r="E1349" s="3">
        <v>40793</v>
      </c>
      <c r="F1349">
        <f t="shared" si="42"/>
        <v>9</v>
      </c>
      <c r="G1349">
        <f t="shared" si="43"/>
        <v>2011</v>
      </c>
    </row>
    <row r="1350" spans="1:7" x14ac:dyDescent="0.25">
      <c r="A1350" s="2" t="s">
        <v>3887</v>
      </c>
      <c r="B1350" s="2" t="s">
        <v>1897</v>
      </c>
      <c r="C1350" s="2" t="s">
        <v>3888</v>
      </c>
      <c r="D1350" s="2" t="s">
        <v>3889</v>
      </c>
      <c r="E1350" s="3">
        <v>40792</v>
      </c>
      <c r="F1350">
        <f t="shared" si="42"/>
        <v>9</v>
      </c>
      <c r="G1350">
        <f t="shared" si="43"/>
        <v>2011</v>
      </c>
    </row>
    <row r="1351" spans="1:7" x14ac:dyDescent="0.25">
      <c r="A1351" s="2" t="s">
        <v>3890</v>
      </c>
      <c r="B1351" s="2" t="s">
        <v>3891</v>
      </c>
      <c r="C1351" s="2" t="s">
        <v>1739</v>
      </c>
      <c r="D1351" s="2" t="s">
        <v>3892</v>
      </c>
      <c r="E1351" s="3">
        <v>40792</v>
      </c>
      <c r="F1351">
        <f t="shared" si="42"/>
        <v>9</v>
      </c>
      <c r="G1351">
        <f t="shared" si="43"/>
        <v>2011</v>
      </c>
    </row>
    <row r="1352" spans="1:7" x14ac:dyDescent="0.25">
      <c r="A1352" s="2" t="s">
        <v>3893</v>
      </c>
      <c r="B1352" s="2" t="s">
        <v>3894</v>
      </c>
      <c r="C1352" s="2" t="s">
        <v>3895</v>
      </c>
      <c r="D1352" s="2" t="s">
        <v>3896</v>
      </c>
      <c r="E1352" s="3">
        <v>40791</v>
      </c>
      <c r="F1352">
        <f t="shared" si="42"/>
        <v>9</v>
      </c>
      <c r="G1352">
        <f t="shared" si="43"/>
        <v>2011</v>
      </c>
    </row>
    <row r="1353" spans="1:7" x14ac:dyDescent="0.25">
      <c r="A1353" s="2" t="s">
        <v>3897</v>
      </c>
      <c r="B1353" s="2" t="s">
        <v>3898</v>
      </c>
      <c r="C1353" s="2" t="s">
        <v>576</v>
      </c>
      <c r="D1353" s="2" t="s">
        <v>502</v>
      </c>
      <c r="E1353" s="3">
        <v>40788</v>
      </c>
      <c r="F1353">
        <f t="shared" si="42"/>
        <v>9</v>
      </c>
      <c r="G1353">
        <f t="shared" si="43"/>
        <v>2011</v>
      </c>
    </row>
    <row r="1354" spans="1:7" x14ac:dyDescent="0.25">
      <c r="A1354" s="2" t="s">
        <v>1590</v>
      </c>
      <c r="B1354" s="2" t="s">
        <v>3899</v>
      </c>
      <c r="C1354" s="2" t="s">
        <v>42</v>
      </c>
      <c r="D1354" s="2" t="s">
        <v>3900</v>
      </c>
      <c r="E1354" s="3">
        <v>40766</v>
      </c>
      <c r="F1354">
        <f t="shared" si="42"/>
        <v>8</v>
      </c>
      <c r="G1354">
        <f t="shared" si="43"/>
        <v>2011</v>
      </c>
    </row>
    <row r="1355" spans="1:7" x14ac:dyDescent="0.25">
      <c r="A1355" s="2" t="s">
        <v>3901</v>
      </c>
      <c r="B1355" s="2" t="s">
        <v>3902</v>
      </c>
      <c r="C1355" s="2" t="s">
        <v>3903</v>
      </c>
      <c r="D1355" s="2" t="s">
        <v>3904</v>
      </c>
      <c r="E1355" s="3">
        <v>40764</v>
      </c>
      <c r="F1355">
        <f t="shared" si="42"/>
        <v>8</v>
      </c>
      <c r="G1355">
        <f t="shared" si="43"/>
        <v>2011</v>
      </c>
    </row>
    <row r="1356" spans="1:7" x14ac:dyDescent="0.25">
      <c r="A1356" s="2" t="s">
        <v>1104</v>
      </c>
      <c r="B1356" s="2" t="s">
        <v>3905</v>
      </c>
      <c r="C1356" s="2" t="s">
        <v>3906</v>
      </c>
      <c r="D1356" s="2" t="s">
        <v>1981</v>
      </c>
      <c r="E1356" s="3">
        <v>40758</v>
      </c>
      <c r="F1356">
        <f t="shared" si="42"/>
        <v>8</v>
      </c>
      <c r="G1356">
        <f t="shared" si="43"/>
        <v>2011</v>
      </c>
    </row>
    <row r="1357" spans="1:7" x14ac:dyDescent="0.25">
      <c r="A1357" s="2" t="s">
        <v>2929</v>
      </c>
      <c r="B1357" s="2" t="s">
        <v>3907</v>
      </c>
      <c r="C1357" s="2" t="s">
        <v>3738</v>
      </c>
      <c r="D1357" s="2" t="s">
        <v>3866</v>
      </c>
      <c r="E1357" s="3">
        <v>40757</v>
      </c>
      <c r="F1357">
        <f t="shared" si="42"/>
        <v>8</v>
      </c>
      <c r="G1357">
        <f t="shared" si="43"/>
        <v>2011</v>
      </c>
    </row>
    <row r="1358" spans="1:7" x14ac:dyDescent="0.25">
      <c r="A1358" s="2" t="s">
        <v>3908</v>
      </c>
      <c r="B1358" s="2" t="s">
        <v>3909</v>
      </c>
      <c r="C1358" s="2" t="s">
        <v>3910</v>
      </c>
      <c r="D1358" s="2" t="s">
        <v>3858</v>
      </c>
      <c r="E1358" s="3">
        <v>40756</v>
      </c>
      <c r="F1358">
        <f t="shared" si="42"/>
        <v>8</v>
      </c>
      <c r="G1358">
        <f t="shared" si="43"/>
        <v>2011</v>
      </c>
    </row>
    <row r="1359" spans="1:7" x14ac:dyDescent="0.25">
      <c r="A1359" s="2" t="s">
        <v>3911</v>
      </c>
      <c r="B1359" s="2" t="s">
        <v>3912</v>
      </c>
      <c r="C1359" s="2" t="s">
        <v>490</v>
      </c>
      <c r="D1359" s="2" t="s">
        <v>3913</v>
      </c>
      <c r="E1359" s="3">
        <v>40755</v>
      </c>
      <c r="F1359">
        <f t="shared" si="42"/>
        <v>7</v>
      </c>
      <c r="G1359">
        <f t="shared" si="43"/>
        <v>2011</v>
      </c>
    </row>
    <row r="1360" spans="1:7" x14ac:dyDescent="0.25">
      <c r="A1360" s="2" t="s">
        <v>3914</v>
      </c>
      <c r="B1360" s="2" t="s">
        <v>223</v>
      </c>
      <c r="C1360" s="2"/>
      <c r="D1360" s="2"/>
      <c r="E1360" s="3">
        <v>40755</v>
      </c>
      <c r="F1360">
        <f t="shared" si="42"/>
        <v>7</v>
      </c>
      <c r="G1360">
        <f t="shared" si="43"/>
        <v>2011</v>
      </c>
    </row>
    <row r="1361" spans="1:7" x14ac:dyDescent="0.25">
      <c r="A1361" s="2" t="s">
        <v>3351</v>
      </c>
      <c r="B1361" s="2" t="s">
        <v>3915</v>
      </c>
      <c r="C1361" s="2" t="s">
        <v>3916</v>
      </c>
      <c r="D1361" s="2" t="s">
        <v>3917</v>
      </c>
      <c r="E1361" s="3">
        <v>40726</v>
      </c>
      <c r="F1361">
        <f t="shared" si="42"/>
        <v>7</v>
      </c>
      <c r="G1361">
        <f t="shared" si="43"/>
        <v>2011</v>
      </c>
    </row>
    <row r="1362" spans="1:7" x14ac:dyDescent="0.25">
      <c r="A1362" s="2" t="s">
        <v>403</v>
      </c>
      <c r="B1362" s="2" t="s">
        <v>3918</v>
      </c>
      <c r="C1362" s="2" t="s">
        <v>3919</v>
      </c>
      <c r="D1362" s="2" t="s">
        <v>3691</v>
      </c>
      <c r="E1362" s="3">
        <v>40726</v>
      </c>
      <c r="F1362">
        <f t="shared" si="42"/>
        <v>7</v>
      </c>
      <c r="G1362">
        <f t="shared" si="43"/>
        <v>2011</v>
      </c>
    </row>
    <row r="1363" spans="1:7" x14ac:dyDescent="0.25">
      <c r="A1363" s="2" t="s">
        <v>3920</v>
      </c>
      <c r="B1363" s="2" t="s">
        <v>3921</v>
      </c>
      <c r="C1363" s="2" t="s">
        <v>3922</v>
      </c>
      <c r="D1363" s="2" t="s">
        <v>670</v>
      </c>
      <c r="E1363" s="3">
        <v>40712</v>
      </c>
      <c r="F1363">
        <f t="shared" si="42"/>
        <v>6</v>
      </c>
      <c r="G1363">
        <f t="shared" si="43"/>
        <v>2011</v>
      </c>
    </row>
    <row r="1364" spans="1:7" x14ac:dyDescent="0.25">
      <c r="A1364" s="2" t="s">
        <v>2308</v>
      </c>
      <c r="B1364" s="2" t="s">
        <v>3923</v>
      </c>
      <c r="C1364" s="2" t="s">
        <v>61</v>
      </c>
      <c r="D1364" s="2" t="s">
        <v>3924</v>
      </c>
      <c r="E1364" s="3">
        <v>40694</v>
      </c>
      <c r="F1364">
        <f t="shared" si="42"/>
        <v>5</v>
      </c>
      <c r="G1364">
        <f t="shared" si="43"/>
        <v>2011</v>
      </c>
    </row>
    <row r="1365" spans="1:7" x14ac:dyDescent="0.25">
      <c r="A1365" s="2" t="s">
        <v>2270</v>
      </c>
      <c r="B1365" s="2" t="s">
        <v>3925</v>
      </c>
      <c r="C1365" s="2" t="s">
        <v>3926</v>
      </c>
      <c r="D1365" s="2" t="s">
        <v>3927</v>
      </c>
      <c r="E1365" s="3">
        <v>40667</v>
      </c>
      <c r="F1365">
        <f t="shared" si="42"/>
        <v>5</v>
      </c>
      <c r="G1365">
        <f t="shared" si="43"/>
        <v>2011</v>
      </c>
    </row>
    <row r="1366" spans="1:7" x14ac:dyDescent="0.25">
      <c r="A1366" s="2" t="s">
        <v>3928</v>
      </c>
      <c r="B1366" s="2" t="s">
        <v>3929</v>
      </c>
      <c r="C1366" s="2" t="s">
        <v>3930</v>
      </c>
      <c r="D1366" s="2" t="s">
        <v>3931</v>
      </c>
      <c r="E1366" s="3">
        <v>40602</v>
      </c>
      <c r="F1366">
        <f t="shared" si="42"/>
        <v>2</v>
      </c>
      <c r="G1366">
        <f t="shared" si="43"/>
        <v>2011</v>
      </c>
    </row>
    <row r="1367" spans="1:7" x14ac:dyDescent="0.25">
      <c r="A1367" s="2" t="s">
        <v>863</v>
      </c>
      <c r="B1367" s="2" t="s">
        <v>3932</v>
      </c>
      <c r="C1367" s="2" t="s">
        <v>3933</v>
      </c>
      <c r="D1367" s="2" t="s">
        <v>3934</v>
      </c>
      <c r="E1367" s="3">
        <v>40599</v>
      </c>
      <c r="F1367">
        <f t="shared" si="42"/>
        <v>2</v>
      </c>
      <c r="G1367">
        <f t="shared" si="43"/>
        <v>2011</v>
      </c>
    </row>
    <row r="1368" spans="1:7" x14ac:dyDescent="0.25">
      <c r="A1368" s="2" t="s">
        <v>3935</v>
      </c>
      <c r="B1368" s="2" t="s">
        <v>3936</v>
      </c>
      <c r="C1368" s="2" t="s">
        <v>3937</v>
      </c>
      <c r="D1368" s="2" t="s">
        <v>3938</v>
      </c>
      <c r="E1368" s="3">
        <v>40596</v>
      </c>
      <c r="F1368">
        <f t="shared" si="42"/>
        <v>2</v>
      </c>
      <c r="G1368">
        <f t="shared" si="43"/>
        <v>2011</v>
      </c>
    </row>
    <row r="1369" spans="1:7" x14ac:dyDescent="0.25">
      <c r="A1369" s="2" t="s">
        <v>3939</v>
      </c>
      <c r="B1369" s="2" t="s">
        <v>3940</v>
      </c>
      <c r="C1369" s="2" t="s">
        <v>3941</v>
      </c>
      <c r="D1369" s="2" t="s">
        <v>74</v>
      </c>
      <c r="E1369" s="3">
        <v>40591</v>
      </c>
      <c r="F1369">
        <f t="shared" si="42"/>
        <v>2</v>
      </c>
      <c r="G1369">
        <f t="shared" si="43"/>
        <v>2011</v>
      </c>
    </row>
    <row r="1370" spans="1:7" x14ac:dyDescent="0.25">
      <c r="A1370" s="2" t="s">
        <v>3942</v>
      </c>
      <c r="B1370" s="2" t="s">
        <v>3943</v>
      </c>
      <c r="C1370" s="2" t="s">
        <v>2102</v>
      </c>
      <c r="D1370" s="2" t="s">
        <v>3944</v>
      </c>
      <c r="E1370" s="3">
        <v>40587</v>
      </c>
      <c r="F1370">
        <f t="shared" si="42"/>
        <v>2</v>
      </c>
      <c r="G1370">
        <f t="shared" si="43"/>
        <v>2011</v>
      </c>
    </row>
    <row r="1371" spans="1:7" x14ac:dyDescent="0.25">
      <c r="A1371" s="2" t="s">
        <v>3945</v>
      </c>
      <c r="B1371" s="2" t="s">
        <v>3946</v>
      </c>
      <c r="C1371" s="2" t="s">
        <v>3947</v>
      </c>
      <c r="D1371" s="2" t="s">
        <v>3948</v>
      </c>
      <c r="E1371" s="3">
        <v>40530</v>
      </c>
      <c r="F1371">
        <f t="shared" si="42"/>
        <v>12</v>
      </c>
      <c r="G1371">
        <f t="shared" si="43"/>
        <v>2010</v>
      </c>
    </row>
    <row r="1372" spans="1:7" x14ac:dyDescent="0.25">
      <c r="A1372" s="2" t="s">
        <v>3949</v>
      </c>
      <c r="B1372" s="2" t="s">
        <v>3950</v>
      </c>
      <c r="C1372" s="2" t="s">
        <v>3951</v>
      </c>
      <c r="D1372" s="2" t="s">
        <v>3952</v>
      </c>
      <c r="E1372" s="3">
        <v>40526</v>
      </c>
      <c r="F1372">
        <f t="shared" si="42"/>
        <v>12</v>
      </c>
      <c r="G1372">
        <f t="shared" si="43"/>
        <v>2010</v>
      </c>
    </row>
    <row r="1373" spans="1:7" x14ac:dyDescent="0.25">
      <c r="A1373" s="2" t="s">
        <v>3953</v>
      </c>
      <c r="B1373" s="2" t="s">
        <v>3954</v>
      </c>
      <c r="C1373" s="2" t="s">
        <v>3955</v>
      </c>
      <c r="D1373" s="2" t="s">
        <v>3956</v>
      </c>
      <c r="E1373" s="3">
        <v>40525</v>
      </c>
      <c r="F1373">
        <f t="shared" si="42"/>
        <v>12</v>
      </c>
      <c r="G1373">
        <f t="shared" si="43"/>
        <v>2010</v>
      </c>
    </row>
    <row r="1374" spans="1:7" x14ac:dyDescent="0.25">
      <c r="A1374" s="2" t="s">
        <v>3957</v>
      </c>
      <c r="B1374" s="2" t="s">
        <v>2670</v>
      </c>
      <c r="C1374" s="2" t="s">
        <v>3835</v>
      </c>
      <c r="D1374" s="2" t="s">
        <v>3958</v>
      </c>
      <c r="E1374" s="3">
        <v>40511</v>
      </c>
      <c r="F1374">
        <f t="shared" si="42"/>
        <v>11</v>
      </c>
      <c r="G1374">
        <f t="shared" si="43"/>
        <v>2010</v>
      </c>
    </row>
    <row r="1375" spans="1:7" x14ac:dyDescent="0.25">
      <c r="A1375" s="2" t="s">
        <v>3959</v>
      </c>
      <c r="B1375" s="2" t="s">
        <v>773</v>
      </c>
      <c r="C1375" s="2" t="s">
        <v>576</v>
      </c>
      <c r="D1375" s="2" t="s">
        <v>3960</v>
      </c>
      <c r="E1375" s="3">
        <v>40511</v>
      </c>
      <c r="F1375">
        <f t="shared" si="42"/>
        <v>11</v>
      </c>
      <c r="G1375">
        <f t="shared" si="43"/>
        <v>2010</v>
      </c>
    </row>
    <row r="1376" spans="1:7" x14ac:dyDescent="0.25">
      <c r="A1376" s="2" t="s">
        <v>3961</v>
      </c>
      <c r="B1376" s="2" t="s">
        <v>3962</v>
      </c>
      <c r="C1376" s="2" t="s">
        <v>3963</v>
      </c>
      <c r="D1376" s="2" t="s">
        <v>3964</v>
      </c>
      <c r="E1376" s="3">
        <v>40511</v>
      </c>
      <c r="F1376">
        <f t="shared" si="42"/>
        <v>11</v>
      </c>
      <c r="G1376">
        <f t="shared" si="43"/>
        <v>2010</v>
      </c>
    </row>
    <row r="1377" spans="1:7" x14ac:dyDescent="0.25">
      <c r="A1377" s="2" t="s">
        <v>3965</v>
      </c>
      <c r="B1377" s="2" t="s">
        <v>3966</v>
      </c>
      <c r="C1377" s="2" t="s">
        <v>2359</v>
      </c>
      <c r="D1377" s="2" t="s">
        <v>357</v>
      </c>
      <c r="E1377" s="3">
        <v>40511</v>
      </c>
      <c r="F1377">
        <f t="shared" si="42"/>
        <v>11</v>
      </c>
      <c r="G1377">
        <f t="shared" si="43"/>
        <v>2010</v>
      </c>
    </row>
    <row r="1378" spans="1:7" x14ac:dyDescent="0.25">
      <c r="A1378" s="2" t="s">
        <v>3967</v>
      </c>
      <c r="B1378" s="2" t="s">
        <v>3968</v>
      </c>
      <c r="C1378" s="2" t="s">
        <v>3969</v>
      </c>
      <c r="D1378" s="2" t="s">
        <v>3970</v>
      </c>
      <c r="E1378" s="3">
        <v>40494</v>
      </c>
      <c r="F1378">
        <f t="shared" si="42"/>
        <v>11</v>
      </c>
      <c r="G1378">
        <f t="shared" si="43"/>
        <v>2010</v>
      </c>
    </row>
    <row r="1379" spans="1:7" x14ac:dyDescent="0.25">
      <c r="A1379" s="2" t="s">
        <v>3971</v>
      </c>
      <c r="B1379" s="2" t="s">
        <v>3972</v>
      </c>
      <c r="C1379" s="2" t="s">
        <v>3973</v>
      </c>
      <c r="D1379" s="2" t="s">
        <v>3974</v>
      </c>
      <c r="E1379" s="3">
        <v>40483</v>
      </c>
      <c r="F1379">
        <f t="shared" si="42"/>
        <v>11</v>
      </c>
      <c r="G1379">
        <f t="shared" si="43"/>
        <v>2010</v>
      </c>
    </row>
    <row r="1380" spans="1:7" x14ac:dyDescent="0.25">
      <c r="A1380" s="2" t="s">
        <v>3975</v>
      </c>
      <c r="B1380" s="2" t="s">
        <v>3976</v>
      </c>
      <c r="C1380" s="2" t="s">
        <v>956</v>
      </c>
      <c r="D1380" s="2" t="s">
        <v>3977</v>
      </c>
      <c r="E1380" s="3">
        <v>40482</v>
      </c>
      <c r="F1380">
        <f t="shared" si="42"/>
        <v>10</v>
      </c>
      <c r="G1380">
        <f t="shared" si="43"/>
        <v>2010</v>
      </c>
    </row>
    <row r="1381" spans="1:7" x14ac:dyDescent="0.25">
      <c r="A1381" s="2" t="s">
        <v>3978</v>
      </c>
      <c r="B1381" s="2" t="s">
        <v>3979</v>
      </c>
      <c r="C1381" s="2" t="s">
        <v>3980</v>
      </c>
      <c r="D1381" s="2" t="s">
        <v>3981</v>
      </c>
      <c r="E1381" s="3">
        <v>40479</v>
      </c>
      <c r="F1381">
        <f t="shared" si="42"/>
        <v>10</v>
      </c>
      <c r="G1381">
        <f t="shared" si="43"/>
        <v>2010</v>
      </c>
    </row>
    <row r="1382" spans="1:7" x14ac:dyDescent="0.25">
      <c r="A1382" s="2" t="s">
        <v>3982</v>
      </c>
      <c r="B1382" s="2" t="s">
        <v>2094</v>
      </c>
      <c r="C1382" s="2" t="s">
        <v>23</v>
      </c>
      <c r="D1382" s="2" t="s">
        <v>3983</v>
      </c>
      <c r="E1382" s="3">
        <v>40479</v>
      </c>
      <c r="F1382">
        <f t="shared" si="42"/>
        <v>10</v>
      </c>
      <c r="G1382">
        <f t="shared" si="43"/>
        <v>2010</v>
      </c>
    </row>
    <row r="1383" spans="1:7" ht="24" x14ac:dyDescent="0.25">
      <c r="A1383" s="2" t="s">
        <v>3984</v>
      </c>
      <c r="B1383" s="2" t="s">
        <v>3985</v>
      </c>
      <c r="C1383" s="2" t="s">
        <v>3986</v>
      </c>
      <c r="D1383" s="2" t="s">
        <v>74</v>
      </c>
      <c r="E1383" s="3">
        <v>40479</v>
      </c>
      <c r="F1383">
        <f t="shared" si="42"/>
        <v>10</v>
      </c>
      <c r="G1383">
        <f t="shared" si="43"/>
        <v>2010</v>
      </c>
    </row>
    <row r="1384" spans="1:7" x14ac:dyDescent="0.25">
      <c r="A1384" s="2" t="s">
        <v>3987</v>
      </c>
      <c r="B1384" s="2" t="s">
        <v>3988</v>
      </c>
      <c r="C1384" s="2" t="s">
        <v>167</v>
      </c>
      <c r="D1384" s="2" t="s">
        <v>3989</v>
      </c>
      <c r="E1384" s="3">
        <v>40479</v>
      </c>
      <c r="F1384">
        <f t="shared" si="42"/>
        <v>10</v>
      </c>
      <c r="G1384">
        <f t="shared" si="43"/>
        <v>2010</v>
      </c>
    </row>
    <row r="1385" spans="1:7" x14ac:dyDescent="0.25">
      <c r="A1385" s="2" t="s">
        <v>3990</v>
      </c>
      <c r="B1385" s="2" t="s">
        <v>3991</v>
      </c>
      <c r="C1385" s="2" t="s">
        <v>3992</v>
      </c>
      <c r="D1385" s="2" t="s">
        <v>3993</v>
      </c>
      <c r="E1385" s="3">
        <v>40479</v>
      </c>
      <c r="F1385">
        <f t="shared" si="42"/>
        <v>10</v>
      </c>
      <c r="G1385">
        <f t="shared" si="43"/>
        <v>2010</v>
      </c>
    </row>
    <row r="1386" spans="1:7" x14ac:dyDescent="0.25">
      <c r="A1386" s="2" t="s">
        <v>3994</v>
      </c>
      <c r="B1386" s="2" t="s">
        <v>3995</v>
      </c>
      <c r="C1386" s="2"/>
      <c r="D1386" s="2"/>
      <c r="E1386" s="3">
        <v>40443</v>
      </c>
      <c r="F1386">
        <f t="shared" si="42"/>
        <v>9</v>
      </c>
      <c r="G1386">
        <f t="shared" si="43"/>
        <v>2010</v>
      </c>
    </row>
    <row r="1387" spans="1:7" x14ac:dyDescent="0.25">
      <c r="A1387" s="2" t="s">
        <v>3996</v>
      </c>
      <c r="B1387" s="2" t="s">
        <v>3997</v>
      </c>
      <c r="C1387" s="2" t="s">
        <v>3998</v>
      </c>
      <c r="D1387" s="2" t="s">
        <v>3999</v>
      </c>
      <c r="E1387" s="3">
        <v>40443</v>
      </c>
      <c r="F1387">
        <f t="shared" si="42"/>
        <v>9</v>
      </c>
      <c r="G1387">
        <f t="shared" si="43"/>
        <v>2010</v>
      </c>
    </row>
    <row r="1388" spans="1:7" x14ac:dyDescent="0.25">
      <c r="A1388" s="2" t="s">
        <v>431</v>
      </c>
      <c r="B1388" s="2" t="s">
        <v>4000</v>
      </c>
      <c r="C1388" s="2" t="s">
        <v>4001</v>
      </c>
      <c r="D1388" s="2" t="s">
        <v>4002</v>
      </c>
      <c r="E1388" s="3">
        <v>40435</v>
      </c>
      <c r="F1388">
        <f t="shared" si="42"/>
        <v>9</v>
      </c>
      <c r="G1388">
        <f t="shared" si="43"/>
        <v>2010</v>
      </c>
    </row>
    <row r="1389" spans="1:7" x14ac:dyDescent="0.25">
      <c r="A1389" s="2" t="s">
        <v>4003</v>
      </c>
      <c r="B1389" s="2" t="s">
        <v>4004</v>
      </c>
      <c r="C1389" s="2" t="s">
        <v>31</v>
      </c>
      <c r="D1389" s="2" t="s">
        <v>4005</v>
      </c>
      <c r="E1389" s="3">
        <v>40425</v>
      </c>
      <c r="F1389">
        <f t="shared" si="42"/>
        <v>9</v>
      </c>
      <c r="G1389">
        <f t="shared" si="43"/>
        <v>2010</v>
      </c>
    </row>
    <row r="1390" spans="1:7" x14ac:dyDescent="0.25">
      <c r="A1390" s="2" t="s">
        <v>2531</v>
      </c>
      <c r="B1390" s="2" t="s">
        <v>4006</v>
      </c>
      <c r="C1390" s="2" t="s">
        <v>3926</v>
      </c>
      <c r="D1390" s="2" t="s">
        <v>4007</v>
      </c>
      <c r="E1390" s="3">
        <v>40424</v>
      </c>
      <c r="F1390">
        <f t="shared" si="42"/>
        <v>9</v>
      </c>
      <c r="G1390">
        <f t="shared" si="43"/>
        <v>2010</v>
      </c>
    </row>
    <row r="1391" spans="1:7" x14ac:dyDescent="0.25">
      <c r="A1391" s="2" t="s">
        <v>4008</v>
      </c>
      <c r="B1391" s="2" t="s">
        <v>4009</v>
      </c>
      <c r="C1391" s="2" t="s">
        <v>4010</v>
      </c>
      <c r="D1391" s="2" t="s">
        <v>4011</v>
      </c>
      <c r="E1391" s="3">
        <v>40421</v>
      </c>
      <c r="F1391">
        <f t="shared" si="42"/>
        <v>8</v>
      </c>
      <c r="G1391">
        <f t="shared" si="43"/>
        <v>2010</v>
      </c>
    </row>
    <row r="1392" spans="1:7" x14ac:dyDescent="0.25">
      <c r="A1392" s="2" t="s">
        <v>4012</v>
      </c>
      <c r="B1392" s="2" t="s">
        <v>4013</v>
      </c>
      <c r="C1392" s="2" t="s">
        <v>4014</v>
      </c>
      <c r="D1392" s="2" t="s">
        <v>450</v>
      </c>
      <c r="E1392" s="3">
        <v>40421</v>
      </c>
      <c r="F1392">
        <f t="shared" si="42"/>
        <v>8</v>
      </c>
      <c r="G1392">
        <f t="shared" si="43"/>
        <v>2010</v>
      </c>
    </row>
    <row r="1393" spans="1:7" x14ac:dyDescent="0.25">
      <c r="A1393" s="2" t="s">
        <v>4015</v>
      </c>
      <c r="B1393" s="2" t="s">
        <v>4016</v>
      </c>
      <c r="C1393" s="2" t="s">
        <v>4017</v>
      </c>
      <c r="D1393" s="2" t="s">
        <v>4018</v>
      </c>
      <c r="E1393" s="3">
        <v>40421</v>
      </c>
      <c r="F1393">
        <f t="shared" si="42"/>
        <v>8</v>
      </c>
      <c r="G1393">
        <f t="shared" si="43"/>
        <v>2010</v>
      </c>
    </row>
    <row r="1394" spans="1:7" x14ac:dyDescent="0.25">
      <c r="A1394" s="2" t="s">
        <v>4019</v>
      </c>
      <c r="B1394" s="2" t="s">
        <v>4020</v>
      </c>
      <c r="C1394" s="2" t="s">
        <v>490</v>
      </c>
      <c r="D1394" s="2" t="s">
        <v>2650</v>
      </c>
      <c r="E1394" s="3">
        <v>40421</v>
      </c>
      <c r="F1394">
        <f t="shared" si="42"/>
        <v>8</v>
      </c>
      <c r="G1394">
        <f t="shared" si="43"/>
        <v>2010</v>
      </c>
    </row>
    <row r="1395" spans="1:7" x14ac:dyDescent="0.25">
      <c r="A1395" s="2" t="s">
        <v>4021</v>
      </c>
      <c r="B1395" s="2" t="s">
        <v>60</v>
      </c>
      <c r="C1395" s="2" t="s">
        <v>4022</v>
      </c>
      <c r="D1395" s="2" t="s">
        <v>3808</v>
      </c>
      <c r="E1395" s="3">
        <v>40420</v>
      </c>
      <c r="F1395">
        <f t="shared" si="42"/>
        <v>8</v>
      </c>
      <c r="G1395">
        <f t="shared" si="43"/>
        <v>2010</v>
      </c>
    </row>
    <row r="1396" spans="1:7" x14ac:dyDescent="0.25">
      <c r="A1396" s="2" t="s">
        <v>530</v>
      </c>
      <c r="B1396" s="2" t="s">
        <v>4023</v>
      </c>
      <c r="C1396" s="2" t="s">
        <v>490</v>
      </c>
      <c r="D1396" s="2" t="s">
        <v>4024</v>
      </c>
      <c r="E1396" s="3">
        <v>40408</v>
      </c>
      <c r="F1396">
        <f t="shared" si="42"/>
        <v>8</v>
      </c>
      <c r="G1396">
        <f t="shared" si="43"/>
        <v>2010</v>
      </c>
    </row>
    <row r="1397" spans="1:7" x14ac:dyDescent="0.25">
      <c r="A1397" s="2" t="s">
        <v>934</v>
      </c>
      <c r="B1397" s="2" t="s">
        <v>424</v>
      </c>
      <c r="C1397" s="2" t="s">
        <v>2251</v>
      </c>
      <c r="D1397" s="2" t="s">
        <v>24</v>
      </c>
      <c r="E1397" s="3">
        <v>40407</v>
      </c>
      <c r="F1397">
        <f t="shared" si="42"/>
        <v>8</v>
      </c>
      <c r="G1397">
        <f t="shared" si="43"/>
        <v>2010</v>
      </c>
    </row>
    <row r="1398" spans="1:7" x14ac:dyDescent="0.25">
      <c r="A1398" s="2" t="s">
        <v>4025</v>
      </c>
      <c r="B1398" s="2" t="s">
        <v>181</v>
      </c>
      <c r="C1398" s="2" t="s">
        <v>4026</v>
      </c>
      <c r="D1398" s="2" t="s">
        <v>4027</v>
      </c>
      <c r="E1398" s="3">
        <v>40407</v>
      </c>
      <c r="F1398">
        <f t="shared" si="42"/>
        <v>8</v>
      </c>
      <c r="G1398">
        <f t="shared" si="43"/>
        <v>2010</v>
      </c>
    </row>
    <row r="1399" spans="1:7" x14ac:dyDescent="0.25">
      <c r="A1399" s="2" t="s">
        <v>4028</v>
      </c>
      <c r="B1399" s="2" t="s">
        <v>4029</v>
      </c>
      <c r="C1399" s="2" t="s">
        <v>117</v>
      </c>
      <c r="D1399" s="2" t="s">
        <v>1860</v>
      </c>
      <c r="E1399" s="3">
        <v>40395</v>
      </c>
      <c r="F1399">
        <f t="shared" si="42"/>
        <v>8</v>
      </c>
      <c r="G1399">
        <f t="shared" si="43"/>
        <v>2010</v>
      </c>
    </row>
    <row r="1400" spans="1:7" x14ac:dyDescent="0.25">
      <c r="A1400" s="2" t="s">
        <v>1897</v>
      </c>
      <c r="B1400" s="2" t="s">
        <v>223</v>
      </c>
      <c r="C1400" s="2" t="s">
        <v>4030</v>
      </c>
      <c r="D1400" s="2" t="s">
        <v>388</v>
      </c>
      <c r="E1400" s="3">
        <v>40386</v>
      </c>
      <c r="F1400">
        <f t="shared" si="42"/>
        <v>7</v>
      </c>
      <c r="G1400">
        <f t="shared" si="43"/>
        <v>2010</v>
      </c>
    </row>
    <row r="1401" spans="1:7" x14ac:dyDescent="0.25">
      <c r="A1401" s="2" t="s">
        <v>2904</v>
      </c>
      <c r="B1401" s="2" t="s">
        <v>4031</v>
      </c>
      <c r="C1401" s="2" t="s">
        <v>4032</v>
      </c>
      <c r="D1401" s="2" t="s">
        <v>4033</v>
      </c>
      <c r="E1401" s="3">
        <v>40386</v>
      </c>
      <c r="F1401">
        <f t="shared" si="42"/>
        <v>7</v>
      </c>
      <c r="G1401">
        <f t="shared" si="43"/>
        <v>2010</v>
      </c>
    </row>
    <row r="1402" spans="1:7" ht="24" x14ac:dyDescent="0.25">
      <c r="A1402" s="2" t="s">
        <v>1104</v>
      </c>
      <c r="B1402" s="2" t="s">
        <v>4034</v>
      </c>
      <c r="C1402" s="2" t="s">
        <v>576</v>
      </c>
      <c r="D1402" s="2" t="s">
        <v>4035</v>
      </c>
      <c r="E1402" s="3">
        <v>40386</v>
      </c>
      <c r="F1402">
        <f t="shared" si="42"/>
        <v>7</v>
      </c>
      <c r="G1402">
        <f t="shared" si="43"/>
        <v>2010</v>
      </c>
    </row>
    <row r="1403" spans="1:7" x14ac:dyDescent="0.25">
      <c r="A1403" s="2" t="s">
        <v>4036</v>
      </c>
      <c r="B1403" s="2" t="s">
        <v>4037</v>
      </c>
      <c r="C1403" s="2" t="s">
        <v>4038</v>
      </c>
      <c r="D1403" s="2" t="s">
        <v>4039</v>
      </c>
      <c r="E1403" s="3">
        <v>40381</v>
      </c>
      <c r="F1403">
        <f t="shared" si="42"/>
        <v>7</v>
      </c>
      <c r="G1403">
        <f t="shared" si="43"/>
        <v>2010</v>
      </c>
    </row>
    <row r="1404" spans="1:7" x14ac:dyDescent="0.25">
      <c r="A1404" s="2" t="s">
        <v>4040</v>
      </c>
      <c r="B1404" s="2" t="s">
        <v>4041</v>
      </c>
      <c r="C1404" s="2" t="s">
        <v>4042</v>
      </c>
      <c r="D1404" s="2" t="s">
        <v>4043</v>
      </c>
      <c r="E1404" s="3">
        <v>40379</v>
      </c>
      <c r="F1404">
        <f t="shared" si="42"/>
        <v>7</v>
      </c>
      <c r="G1404">
        <f t="shared" si="43"/>
        <v>2010</v>
      </c>
    </row>
    <row r="1405" spans="1:7" ht="24" x14ac:dyDescent="0.25">
      <c r="A1405" s="2" t="s">
        <v>1566</v>
      </c>
      <c r="B1405" s="2" t="s">
        <v>4044</v>
      </c>
      <c r="C1405" s="2" t="s">
        <v>4045</v>
      </c>
      <c r="D1405" s="2" t="s">
        <v>4046</v>
      </c>
      <c r="E1405" s="3">
        <v>40379</v>
      </c>
      <c r="F1405">
        <f t="shared" si="42"/>
        <v>7</v>
      </c>
      <c r="G1405">
        <f t="shared" si="43"/>
        <v>2010</v>
      </c>
    </row>
    <row r="1406" spans="1:7" x14ac:dyDescent="0.25">
      <c r="A1406" s="2" t="s">
        <v>4047</v>
      </c>
      <c r="B1406" s="2" t="s">
        <v>2271</v>
      </c>
      <c r="C1406" s="2" t="s">
        <v>576</v>
      </c>
      <c r="D1406" s="2" t="s">
        <v>2711</v>
      </c>
      <c r="E1406" s="3">
        <v>40379</v>
      </c>
      <c r="F1406">
        <f t="shared" si="42"/>
        <v>7</v>
      </c>
      <c r="G1406">
        <f t="shared" si="43"/>
        <v>2010</v>
      </c>
    </row>
    <row r="1407" spans="1:7" x14ac:dyDescent="0.25">
      <c r="A1407" s="2" t="s">
        <v>4048</v>
      </c>
      <c r="B1407" s="2" t="s">
        <v>29</v>
      </c>
      <c r="C1407" s="2" t="s">
        <v>4049</v>
      </c>
      <c r="D1407" s="2" t="s">
        <v>4050</v>
      </c>
      <c r="E1407" s="3">
        <v>40378</v>
      </c>
      <c r="F1407">
        <f t="shared" si="42"/>
        <v>7</v>
      </c>
      <c r="G1407">
        <f t="shared" si="43"/>
        <v>2010</v>
      </c>
    </row>
    <row r="1408" spans="1:7" x14ac:dyDescent="0.25">
      <c r="A1408" s="2" t="s">
        <v>4051</v>
      </c>
      <c r="B1408" s="2" t="s">
        <v>425</v>
      </c>
      <c r="C1408" s="2" t="s">
        <v>4052</v>
      </c>
      <c r="D1408" s="2" t="s">
        <v>4053</v>
      </c>
      <c r="E1408" s="3">
        <v>40371</v>
      </c>
      <c r="F1408">
        <f t="shared" si="42"/>
        <v>7</v>
      </c>
      <c r="G1408">
        <f t="shared" si="43"/>
        <v>2010</v>
      </c>
    </row>
    <row r="1409" spans="1:7" ht="24" x14ac:dyDescent="0.25">
      <c r="A1409" s="2" t="s">
        <v>4054</v>
      </c>
      <c r="B1409" s="2" t="s">
        <v>68</v>
      </c>
      <c r="C1409" s="2" t="s">
        <v>609</v>
      </c>
      <c r="D1409" s="2" t="s">
        <v>4055</v>
      </c>
      <c r="E1409" s="3">
        <v>40369</v>
      </c>
      <c r="F1409">
        <f t="shared" si="42"/>
        <v>7</v>
      </c>
      <c r="G1409">
        <f t="shared" si="43"/>
        <v>2010</v>
      </c>
    </row>
    <row r="1410" spans="1:7" x14ac:dyDescent="0.25">
      <c r="A1410" s="2" t="s">
        <v>2169</v>
      </c>
      <c r="B1410" s="2" t="s">
        <v>1687</v>
      </c>
      <c r="C1410" s="2" t="s">
        <v>117</v>
      </c>
      <c r="D1410" s="2" t="s">
        <v>1860</v>
      </c>
      <c r="E1410" s="3">
        <v>40366</v>
      </c>
      <c r="F1410">
        <f t="shared" si="42"/>
        <v>7</v>
      </c>
      <c r="G1410">
        <f t="shared" si="43"/>
        <v>2010</v>
      </c>
    </row>
    <row r="1411" spans="1:7" x14ac:dyDescent="0.25">
      <c r="A1411" s="2" t="s">
        <v>4056</v>
      </c>
      <c r="B1411" s="2" t="s">
        <v>4057</v>
      </c>
      <c r="C1411" s="2" t="s">
        <v>917</v>
      </c>
      <c r="D1411" s="2" t="s">
        <v>4058</v>
      </c>
      <c r="E1411" s="3">
        <v>40365</v>
      </c>
      <c r="F1411">
        <f t="shared" ref="F1411:F1474" si="44">MONTH(E1411)</f>
        <v>7</v>
      </c>
      <c r="G1411">
        <f t="shared" ref="G1411:G1474" si="45">YEAR(E1411)</f>
        <v>2010</v>
      </c>
    </row>
    <row r="1412" spans="1:7" x14ac:dyDescent="0.25">
      <c r="A1412" s="2" t="s">
        <v>197</v>
      </c>
      <c r="B1412" s="2" t="s">
        <v>68</v>
      </c>
      <c r="C1412" s="2" t="s">
        <v>4059</v>
      </c>
      <c r="D1412" s="2" t="s">
        <v>193</v>
      </c>
      <c r="E1412" s="3">
        <v>40364</v>
      </c>
      <c r="F1412">
        <f t="shared" si="44"/>
        <v>7</v>
      </c>
      <c r="G1412">
        <f t="shared" si="45"/>
        <v>2010</v>
      </c>
    </row>
    <row r="1413" spans="1:7" x14ac:dyDescent="0.25">
      <c r="A1413" s="2" t="s">
        <v>1024</v>
      </c>
      <c r="B1413" s="2" t="s">
        <v>4060</v>
      </c>
      <c r="C1413" s="2" t="s">
        <v>4061</v>
      </c>
      <c r="D1413" s="2" t="s">
        <v>4062</v>
      </c>
      <c r="E1413" s="3">
        <v>40364</v>
      </c>
      <c r="F1413">
        <f t="shared" si="44"/>
        <v>7</v>
      </c>
      <c r="G1413">
        <f t="shared" si="45"/>
        <v>2010</v>
      </c>
    </row>
    <row r="1414" spans="1:7" ht="24" x14ac:dyDescent="0.25">
      <c r="A1414" s="2" t="s">
        <v>4063</v>
      </c>
      <c r="B1414" s="2" t="s">
        <v>4064</v>
      </c>
      <c r="C1414" s="2" t="s">
        <v>3687</v>
      </c>
      <c r="D1414" s="2" t="s">
        <v>4065</v>
      </c>
      <c r="E1414" s="3">
        <v>40359</v>
      </c>
      <c r="F1414">
        <f t="shared" si="44"/>
        <v>6</v>
      </c>
      <c r="G1414">
        <f t="shared" si="45"/>
        <v>2010</v>
      </c>
    </row>
    <row r="1415" spans="1:7" x14ac:dyDescent="0.25">
      <c r="A1415" s="2" t="s">
        <v>2654</v>
      </c>
      <c r="B1415" s="2" t="s">
        <v>4066</v>
      </c>
      <c r="C1415" s="2" t="s">
        <v>4067</v>
      </c>
      <c r="D1415" s="2" t="s">
        <v>4068</v>
      </c>
      <c r="E1415" s="3">
        <v>40351</v>
      </c>
      <c r="F1415">
        <f t="shared" si="44"/>
        <v>6</v>
      </c>
      <c r="G1415">
        <f t="shared" si="45"/>
        <v>2010</v>
      </c>
    </row>
    <row r="1416" spans="1:7" x14ac:dyDescent="0.25">
      <c r="A1416" s="2" t="s">
        <v>4069</v>
      </c>
      <c r="B1416" s="2" t="s">
        <v>4070</v>
      </c>
      <c r="C1416" s="2" t="s">
        <v>4071</v>
      </c>
      <c r="D1416" s="2" t="s">
        <v>2711</v>
      </c>
      <c r="E1416" s="3">
        <v>40351</v>
      </c>
      <c r="F1416">
        <f t="shared" si="44"/>
        <v>6</v>
      </c>
      <c r="G1416">
        <f t="shared" si="45"/>
        <v>2010</v>
      </c>
    </row>
    <row r="1417" spans="1:7" ht="24" x14ac:dyDescent="0.25">
      <c r="A1417" s="2" t="s">
        <v>4072</v>
      </c>
      <c r="B1417" s="2" t="s">
        <v>4073</v>
      </c>
      <c r="C1417" s="2" t="s">
        <v>4074</v>
      </c>
      <c r="D1417" s="2" t="s">
        <v>4075</v>
      </c>
      <c r="E1417" s="3">
        <v>40348</v>
      </c>
      <c r="F1417">
        <f t="shared" si="44"/>
        <v>6</v>
      </c>
      <c r="G1417">
        <f t="shared" si="45"/>
        <v>2010</v>
      </c>
    </row>
    <row r="1418" spans="1:7" x14ac:dyDescent="0.25">
      <c r="A1418" s="2" t="s">
        <v>2686</v>
      </c>
      <c r="B1418" s="2" t="s">
        <v>4076</v>
      </c>
      <c r="C1418" s="2" t="s">
        <v>2799</v>
      </c>
      <c r="D1418" s="2" t="s">
        <v>4077</v>
      </c>
      <c r="E1418" s="3">
        <v>40347</v>
      </c>
      <c r="F1418">
        <f t="shared" si="44"/>
        <v>6</v>
      </c>
      <c r="G1418">
        <f t="shared" si="45"/>
        <v>2010</v>
      </c>
    </row>
    <row r="1419" spans="1:7" ht="24" x14ac:dyDescent="0.25">
      <c r="A1419" s="2" t="s">
        <v>2929</v>
      </c>
      <c r="B1419" s="2" t="s">
        <v>4078</v>
      </c>
      <c r="C1419" s="2" t="s">
        <v>4079</v>
      </c>
      <c r="D1419" s="2" t="s">
        <v>4080</v>
      </c>
      <c r="E1419" s="3">
        <v>40347</v>
      </c>
      <c r="F1419">
        <f t="shared" si="44"/>
        <v>6</v>
      </c>
      <c r="G1419">
        <f t="shared" si="45"/>
        <v>2010</v>
      </c>
    </row>
    <row r="1420" spans="1:7" x14ac:dyDescent="0.25">
      <c r="A1420" s="2" t="s">
        <v>1911</v>
      </c>
      <c r="B1420" s="2" t="s">
        <v>4081</v>
      </c>
      <c r="C1420" s="2" t="s">
        <v>4082</v>
      </c>
      <c r="D1420" s="2" t="s">
        <v>4083</v>
      </c>
      <c r="E1420" s="3">
        <v>40325</v>
      </c>
      <c r="F1420">
        <f t="shared" si="44"/>
        <v>5</v>
      </c>
      <c r="G1420">
        <f t="shared" si="45"/>
        <v>2010</v>
      </c>
    </row>
    <row r="1421" spans="1:7" x14ac:dyDescent="0.25">
      <c r="A1421" s="2" t="s">
        <v>1825</v>
      </c>
      <c r="B1421" s="2" t="s">
        <v>4084</v>
      </c>
      <c r="C1421" s="2" t="s">
        <v>917</v>
      </c>
      <c r="D1421" s="2" t="s">
        <v>4085</v>
      </c>
      <c r="E1421" s="3">
        <v>40324</v>
      </c>
      <c r="F1421">
        <f t="shared" si="44"/>
        <v>5</v>
      </c>
      <c r="G1421">
        <f t="shared" si="45"/>
        <v>2010</v>
      </c>
    </row>
    <row r="1422" spans="1:7" x14ac:dyDescent="0.25">
      <c r="A1422" s="2" t="s">
        <v>3462</v>
      </c>
      <c r="B1422" s="2" t="s">
        <v>4086</v>
      </c>
      <c r="C1422" s="2" t="s">
        <v>576</v>
      </c>
      <c r="D1422" s="2" t="s">
        <v>4087</v>
      </c>
      <c r="E1422" s="3">
        <v>40324</v>
      </c>
      <c r="F1422">
        <f t="shared" si="44"/>
        <v>5</v>
      </c>
      <c r="G1422">
        <f t="shared" si="45"/>
        <v>2010</v>
      </c>
    </row>
    <row r="1423" spans="1:7" ht="24" x14ac:dyDescent="0.25">
      <c r="A1423" s="2" t="s">
        <v>4088</v>
      </c>
      <c r="B1423" s="2" t="s">
        <v>4089</v>
      </c>
      <c r="C1423" s="2" t="s">
        <v>3698</v>
      </c>
      <c r="D1423" s="2" t="s">
        <v>4090</v>
      </c>
      <c r="E1423" s="3">
        <v>40322</v>
      </c>
      <c r="F1423">
        <f t="shared" si="44"/>
        <v>5</v>
      </c>
      <c r="G1423">
        <f t="shared" si="45"/>
        <v>2010</v>
      </c>
    </row>
    <row r="1424" spans="1:7" x14ac:dyDescent="0.25">
      <c r="A1424" s="2" t="s">
        <v>3019</v>
      </c>
      <c r="B1424" s="2" t="s">
        <v>4091</v>
      </c>
      <c r="C1424" s="2" t="s">
        <v>4092</v>
      </c>
      <c r="D1424" s="2" t="s">
        <v>4093</v>
      </c>
      <c r="E1424" s="3">
        <v>40317</v>
      </c>
      <c r="F1424">
        <f t="shared" si="44"/>
        <v>5</v>
      </c>
      <c r="G1424">
        <f t="shared" si="45"/>
        <v>2010</v>
      </c>
    </row>
    <row r="1425" spans="1:7" x14ac:dyDescent="0.25">
      <c r="A1425" s="2" t="s">
        <v>2043</v>
      </c>
      <c r="B1425" s="2" t="s">
        <v>4094</v>
      </c>
      <c r="C1425" s="2" t="s">
        <v>4095</v>
      </c>
      <c r="D1425" s="2" t="s">
        <v>74</v>
      </c>
      <c r="E1425" s="3">
        <v>40316</v>
      </c>
      <c r="F1425">
        <f t="shared" si="44"/>
        <v>5</v>
      </c>
      <c r="G1425">
        <f t="shared" si="45"/>
        <v>2010</v>
      </c>
    </row>
    <row r="1426" spans="1:7" x14ac:dyDescent="0.25">
      <c r="A1426" s="2" t="s">
        <v>5</v>
      </c>
      <c r="B1426" s="2" t="s">
        <v>4096</v>
      </c>
      <c r="C1426" s="2" t="s">
        <v>4097</v>
      </c>
      <c r="D1426" s="2" t="s">
        <v>28</v>
      </c>
      <c r="E1426" s="3">
        <v>40316</v>
      </c>
      <c r="F1426">
        <f t="shared" si="44"/>
        <v>5</v>
      </c>
      <c r="G1426">
        <f t="shared" si="45"/>
        <v>2010</v>
      </c>
    </row>
    <row r="1427" spans="1:7" x14ac:dyDescent="0.25">
      <c r="A1427" s="2" t="s">
        <v>4098</v>
      </c>
      <c r="B1427" s="2" t="s">
        <v>4099</v>
      </c>
      <c r="C1427" s="2" t="s">
        <v>4100</v>
      </c>
      <c r="D1427" s="2" t="s">
        <v>4101</v>
      </c>
      <c r="E1427" s="3">
        <v>40316</v>
      </c>
      <c r="F1427">
        <f t="shared" si="44"/>
        <v>5</v>
      </c>
      <c r="G1427">
        <f t="shared" si="45"/>
        <v>2010</v>
      </c>
    </row>
    <row r="1428" spans="1:7" x14ac:dyDescent="0.25">
      <c r="A1428" s="2" t="s">
        <v>4102</v>
      </c>
      <c r="B1428" s="2" t="s">
        <v>4103</v>
      </c>
      <c r="C1428" s="2" t="s">
        <v>4104</v>
      </c>
      <c r="D1428" s="2" t="s">
        <v>4105</v>
      </c>
      <c r="E1428" s="3">
        <v>40316</v>
      </c>
      <c r="F1428">
        <f t="shared" si="44"/>
        <v>5</v>
      </c>
      <c r="G1428">
        <f t="shared" si="45"/>
        <v>2010</v>
      </c>
    </row>
    <row r="1429" spans="1:7" x14ac:dyDescent="0.25">
      <c r="A1429" s="2" t="s">
        <v>4106</v>
      </c>
      <c r="B1429" s="2" t="s">
        <v>4107</v>
      </c>
      <c r="C1429" s="2" t="s">
        <v>576</v>
      </c>
      <c r="D1429" s="2" t="s">
        <v>2711</v>
      </c>
      <c r="E1429" s="3">
        <v>40316</v>
      </c>
      <c r="F1429">
        <f t="shared" si="44"/>
        <v>5</v>
      </c>
      <c r="G1429">
        <f t="shared" si="45"/>
        <v>2010</v>
      </c>
    </row>
    <row r="1430" spans="1:7" ht="24" x14ac:dyDescent="0.25">
      <c r="A1430" s="2" t="s">
        <v>4108</v>
      </c>
      <c r="B1430" s="2" t="s">
        <v>4109</v>
      </c>
      <c r="C1430" s="2" t="s">
        <v>4110</v>
      </c>
      <c r="D1430" s="2" t="s">
        <v>4111</v>
      </c>
      <c r="E1430" s="3">
        <v>40316</v>
      </c>
      <c r="F1430">
        <f t="shared" si="44"/>
        <v>5</v>
      </c>
      <c r="G1430">
        <f t="shared" si="45"/>
        <v>2010</v>
      </c>
    </row>
    <row r="1431" spans="1:7" x14ac:dyDescent="0.25">
      <c r="A1431" s="2" t="s">
        <v>4112</v>
      </c>
      <c r="B1431" s="2" t="s">
        <v>4113</v>
      </c>
      <c r="C1431" s="2" t="s">
        <v>4114</v>
      </c>
      <c r="D1431" s="2" t="s">
        <v>4115</v>
      </c>
      <c r="E1431" s="3">
        <v>40316</v>
      </c>
      <c r="F1431">
        <f t="shared" si="44"/>
        <v>5</v>
      </c>
      <c r="G1431">
        <f t="shared" si="45"/>
        <v>2010</v>
      </c>
    </row>
    <row r="1432" spans="1:7" x14ac:dyDescent="0.25">
      <c r="A1432" s="2" t="s">
        <v>4116</v>
      </c>
      <c r="B1432" s="2" t="s">
        <v>3264</v>
      </c>
      <c r="C1432" s="2" t="s">
        <v>2251</v>
      </c>
      <c r="D1432" s="2" t="s">
        <v>502</v>
      </c>
      <c r="E1432" s="3">
        <v>40316</v>
      </c>
      <c r="F1432">
        <f t="shared" si="44"/>
        <v>5</v>
      </c>
      <c r="G1432">
        <f t="shared" si="45"/>
        <v>2010</v>
      </c>
    </row>
    <row r="1433" spans="1:7" x14ac:dyDescent="0.25">
      <c r="A1433" s="2" t="s">
        <v>4117</v>
      </c>
      <c r="B1433" s="2" t="s">
        <v>4118</v>
      </c>
      <c r="C1433" s="2" t="s">
        <v>4119</v>
      </c>
      <c r="D1433" s="2" t="s">
        <v>4120</v>
      </c>
      <c r="E1433" s="3">
        <v>40312</v>
      </c>
      <c r="F1433">
        <f t="shared" si="44"/>
        <v>5</v>
      </c>
      <c r="G1433">
        <f t="shared" si="45"/>
        <v>2010</v>
      </c>
    </row>
    <row r="1434" spans="1:7" x14ac:dyDescent="0.25">
      <c r="A1434" s="2" t="s">
        <v>1258</v>
      </c>
      <c r="B1434" s="2" t="s">
        <v>4121</v>
      </c>
      <c r="C1434" s="2" t="s">
        <v>3698</v>
      </c>
      <c r="D1434" s="2" t="s">
        <v>4122</v>
      </c>
      <c r="E1434" s="3">
        <v>40309</v>
      </c>
      <c r="F1434">
        <f t="shared" si="44"/>
        <v>5</v>
      </c>
      <c r="G1434">
        <f t="shared" si="45"/>
        <v>2010</v>
      </c>
    </row>
    <row r="1435" spans="1:7" x14ac:dyDescent="0.25">
      <c r="A1435" s="2" t="s">
        <v>4112</v>
      </c>
      <c r="B1435" s="2" t="s">
        <v>4123</v>
      </c>
      <c r="C1435" s="2" t="s">
        <v>4124</v>
      </c>
      <c r="D1435" s="2" t="s">
        <v>4125</v>
      </c>
      <c r="E1435" s="3">
        <v>40308</v>
      </c>
      <c r="F1435">
        <f t="shared" si="44"/>
        <v>5</v>
      </c>
      <c r="G1435">
        <f t="shared" si="45"/>
        <v>2010</v>
      </c>
    </row>
    <row r="1436" spans="1:7" x14ac:dyDescent="0.25">
      <c r="A1436" s="2" t="s">
        <v>4126</v>
      </c>
      <c r="B1436" s="2" t="s">
        <v>4127</v>
      </c>
      <c r="C1436" s="2" t="s">
        <v>2221</v>
      </c>
      <c r="D1436" s="2" t="s">
        <v>4128</v>
      </c>
      <c r="E1436" s="3">
        <v>40308</v>
      </c>
      <c r="F1436">
        <f t="shared" si="44"/>
        <v>5</v>
      </c>
      <c r="G1436">
        <f t="shared" si="45"/>
        <v>2010</v>
      </c>
    </row>
    <row r="1437" spans="1:7" x14ac:dyDescent="0.25">
      <c r="A1437" s="2" t="s">
        <v>4129</v>
      </c>
      <c r="B1437" s="2" t="s">
        <v>2246</v>
      </c>
      <c r="C1437" s="2" t="s">
        <v>4130</v>
      </c>
      <c r="D1437" s="2" t="s">
        <v>3677</v>
      </c>
      <c r="E1437" s="3">
        <v>40302</v>
      </c>
      <c r="F1437">
        <f t="shared" si="44"/>
        <v>5</v>
      </c>
      <c r="G1437">
        <f t="shared" si="45"/>
        <v>2010</v>
      </c>
    </row>
    <row r="1438" spans="1:7" x14ac:dyDescent="0.25">
      <c r="A1438" s="2" t="s">
        <v>4131</v>
      </c>
      <c r="B1438" s="2" t="s">
        <v>4132</v>
      </c>
      <c r="C1438" s="2" t="s">
        <v>4133</v>
      </c>
      <c r="D1438" s="2" t="s">
        <v>4134</v>
      </c>
      <c r="E1438" s="3">
        <v>40295</v>
      </c>
      <c r="F1438">
        <f t="shared" si="44"/>
        <v>4</v>
      </c>
      <c r="G1438">
        <f t="shared" si="45"/>
        <v>2010</v>
      </c>
    </row>
    <row r="1439" spans="1:7" x14ac:dyDescent="0.25">
      <c r="A1439" s="2" t="s">
        <v>4135</v>
      </c>
      <c r="B1439" s="2" t="s">
        <v>3151</v>
      </c>
      <c r="C1439" s="2" t="s">
        <v>4136</v>
      </c>
      <c r="D1439" s="2" t="s">
        <v>3838</v>
      </c>
      <c r="E1439" s="3">
        <v>40292</v>
      </c>
      <c r="F1439">
        <f t="shared" si="44"/>
        <v>4</v>
      </c>
      <c r="G1439">
        <f t="shared" si="45"/>
        <v>2010</v>
      </c>
    </row>
    <row r="1440" spans="1:7" x14ac:dyDescent="0.25">
      <c r="A1440" s="2" t="s">
        <v>772</v>
      </c>
      <c r="B1440" s="2" t="s">
        <v>4137</v>
      </c>
      <c r="C1440" s="2" t="s">
        <v>4138</v>
      </c>
      <c r="D1440" s="2" t="s">
        <v>4139</v>
      </c>
      <c r="E1440" s="3">
        <v>40290</v>
      </c>
      <c r="F1440">
        <f t="shared" si="44"/>
        <v>4</v>
      </c>
      <c r="G1440">
        <f t="shared" si="45"/>
        <v>2010</v>
      </c>
    </row>
    <row r="1441" spans="1:7" x14ac:dyDescent="0.25">
      <c r="A1441" s="2" t="s">
        <v>4140</v>
      </c>
      <c r="B1441" s="2" t="s">
        <v>4141</v>
      </c>
      <c r="C1441" s="2" t="s">
        <v>4142</v>
      </c>
      <c r="D1441" s="2" t="s">
        <v>1980</v>
      </c>
      <c r="E1441" s="3">
        <v>40289</v>
      </c>
      <c r="F1441">
        <f t="shared" si="44"/>
        <v>4</v>
      </c>
      <c r="G1441">
        <f t="shared" si="45"/>
        <v>2010</v>
      </c>
    </row>
    <row r="1442" spans="1:7" x14ac:dyDescent="0.25">
      <c r="A1442" s="2" t="s">
        <v>2237</v>
      </c>
      <c r="B1442" s="2" t="s">
        <v>4143</v>
      </c>
      <c r="C1442" s="2" t="s">
        <v>4144</v>
      </c>
      <c r="D1442" s="2" t="s">
        <v>24</v>
      </c>
      <c r="E1442" s="3">
        <v>40287</v>
      </c>
      <c r="F1442">
        <f t="shared" si="44"/>
        <v>4</v>
      </c>
      <c r="G1442">
        <f t="shared" si="45"/>
        <v>2010</v>
      </c>
    </row>
    <row r="1443" spans="1:7" x14ac:dyDescent="0.25">
      <c r="A1443" s="2" t="s">
        <v>2094</v>
      </c>
      <c r="B1443" s="2" t="s">
        <v>2375</v>
      </c>
      <c r="C1443" s="2" t="s">
        <v>576</v>
      </c>
      <c r="D1443" s="2" t="s">
        <v>4145</v>
      </c>
      <c r="E1443" s="3">
        <v>40286</v>
      </c>
      <c r="F1443">
        <f t="shared" si="44"/>
        <v>4</v>
      </c>
      <c r="G1443">
        <f t="shared" si="45"/>
        <v>2010</v>
      </c>
    </row>
    <row r="1444" spans="1:7" x14ac:dyDescent="0.25">
      <c r="A1444" s="2" t="s">
        <v>3754</v>
      </c>
      <c r="B1444" s="2" t="s">
        <v>2377</v>
      </c>
      <c r="C1444" s="2" t="s">
        <v>490</v>
      </c>
      <c r="D1444" s="2" t="s">
        <v>4146</v>
      </c>
      <c r="E1444" s="3">
        <v>40282</v>
      </c>
      <c r="F1444">
        <f t="shared" si="44"/>
        <v>4</v>
      </c>
      <c r="G1444">
        <f t="shared" si="45"/>
        <v>2010</v>
      </c>
    </row>
    <row r="1445" spans="1:7" x14ac:dyDescent="0.25">
      <c r="A1445" s="2" t="s">
        <v>4147</v>
      </c>
      <c r="B1445" s="2" t="s">
        <v>4148</v>
      </c>
      <c r="C1445" s="2" t="s">
        <v>576</v>
      </c>
      <c r="D1445" s="2" t="s">
        <v>4149</v>
      </c>
      <c r="E1445" s="3">
        <v>40282</v>
      </c>
      <c r="F1445">
        <f t="shared" si="44"/>
        <v>4</v>
      </c>
      <c r="G1445">
        <f t="shared" si="45"/>
        <v>2010</v>
      </c>
    </row>
    <row r="1446" spans="1:7" x14ac:dyDescent="0.25">
      <c r="A1446" s="2" t="s">
        <v>4150</v>
      </c>
      <c r="B1446" s="2" t="s">
        <v>810</v>
      </c>
      <c r="C1446" s="2" t="s">
        <v>4151</v>
      </c>
      <c r="D1446" s="2" t="s">
        <v>4152</v>
      </c>
      <c r="E1446" s="3">
        <v>40280</v>
      </c>
      <c r="F1446">
        <f t="shared" si="44"/>
        <v>4</v>
      </c>
      <c r="G1446">
        <f t="shared" si="45"/>
        <v>2010</v>
      </c>
    </row>
    <row r="1447" spans="1:7" x14ac:dyDescent="0.25">
      <c r="A1447" s="2" t="s">
        <v>4153</v>
      </c>
      <c r="B1447" s="2" t="s">
        <v>4154</v>
      </c>
      <c r="C1447" s="2" t="s">
        <v>576</v>
      </c>
      <c r="D1447" s="2" t="s">
        <v>4155</v>
      </c>
      <c r="E1447" s="3">
        <v>40280</v>
      </c>
      <c r="F1447">
        <f t="shared" si="44"/>
        <v>4</v>
      </c>
      <c r="G1447">
        <f t="shared" si="45"/>
        <v>2010</v>
      </c>
    </row>
    <row r="1448" spans="1:7" x14ac:dyDescent="0.25">
      <c r="A1448" s="2" t="s">
        <v>4156</v>
      </c>
      <c r="B1448" s="2" t="s">
        <v>382</v>
      </c>
      <c r="C1448" s="2" t="s">
        <v>4157</v>
      </c>
      <c r="D1448" s="2" t="s">
        <v>3958</v>
      </c>
      <c r="E1448" s="3">
        <v>40279</v>
      </c>
      <c r="F1448">
        <f t="shared" si="44"/>
        <v>4</v>
      </c>
      <c r="G1448">
        <f t="shared" si="45"/>
        <v>2010</v>
      </c>
    </row>
    <row r="1449" spans="1:7" x14ac:dyDescent="0.25">
      <c r="A1449" s="2" t="s">
        <v>4158</v>
      </c>
      <c r="B1449" s="2" t="s">
        <v>3891</v>
      </c>
      <c r="C1449" s="2"/>
      <c r="D1449" s="2"/>
      <c r="E1449" s="3">
        <v>40279</v>
      </c>
      <c r="F1449">
        <f t="shared" si="44"/>
        <v>4</v>
      </c>
      <c r="G1449">
        <f t="shared" si="45"/>
        <v>2010</v>
      </c>
    </row>
    <row r="1450" spans="1:7" x14ac:dyDescent="0.25">
      <c r="A1450" s="2" t="s">
        <v>33</v>
      </c>
      <c r="B1450" s="2" t="s">
        <v>4159</v>
      </c>
      <c r="C1450" s="2" t="s">
        <v>4160</v>
      </c>
      <c r="D1450" s="2" t="s">
        <v>24</v>
      </c>
      <c r="E1450" s="3">
        <v>40277</v>
      </c>
      <c r="F1450">
        <f t="shared" si="44"/>
        <v>4</v>
      </c>
      <c r="G1450">
        <f t="shared" si="45"/>
        <v>2010</v>
      </c>
    </row>
    <row r="1451" spans="1:7" x14ac:dyDescent="0.25">
      <c r="A1451" s="2" t="s">
        <v>4161</v>
      </c>
      <c r="B1451" s="2" t="s">
        <v>281</v>
      </c>
      <c r="C1451" s="2" t="s">
        <v>2976</v>
      </c>
      <c r="D1451" s="2" t="s">
        <v>4162</v>
      </c>
      <c r="E1451" s="3">
        <v>40277</v>
      </c>
      <c r="F1451">
        <f t="shared" si="44"/>
        <v>4</v>
      </c>
      <c r="G1451">
        <f t="shared" si="45"/>
        <v>2010</v>
      </c>
    </row>
    <row r="1452" spans="1:7" x14ac:dyDescent="0.25">
      <c r="A1452" s="2" t="s">
        <v>2696</v>
      </c>
      <c r="B1452" s="2" t="s">
        <v>3962</v>
      </c>
      <c r="C1452" s="2" t="s">
        <v>3835</v>
      </c>
      <c r="D1452" s="2" t="s">
        <v>4163</v>
      </c>
      <c r="E1452" s="3">
        <v>40277</v>
      </c>
      <c r="F1452">
        <f t="shared" si="44"/>
        <v>4</v>
      </c>
      <c r="G1452">
        <f t="shared" si="45"/>
        <v>2010</v>
      </c>
    </row>
    <row r="1453" spans="1:7" x14ac:dyDescent="0.25">
      <c r="A1453" s="2" t="s">
        <v>1911</v>
      </c>
      <c r="B1453" s="2" t="s">
        <v>4164</v>
      </c>
      <c r="C1453" s="2" t="s">
        <v>576</v>
      </c>
      <c r="D1453" s="2" t="s">
        <v>2790</v>
      </c>
      <c r="E1453" s="3">
        <v>40277</v>
      </c>
      <c r="F1453">
        <f t="shared" si="44"/>
        <v>4</v>
      </c>
      <c r="G1453">
        <f t="shared" si="45"/>
        <v>2010</v>
      </c>
    </row>
    <row r="1454" spans="1:7" ht="24" x14ac:dyDescent="0.25">
      <c r="A1454" s="2" t="s">
        <v>4165</v>
      </c>
      <c r="B1454" s="2" t="s">
        <v>4166</v>
      </c>
      <c r="C1454" s="2" t="s">
        <v>4167</v>
      </c>
      <c r="D1454" s="2" t="s">
        <v>4168</v>
      </c>
      <c r="E1454" s="3">
        <v>40277</v>
      </c>
      <c r="F1454">
        <f t="shared" si="44"/>
        <v>4</v>
      </c>
      <c r="G1454">
        <f t="shared" si="45"/>
        <v>2010</v>
      </c>
    </row>
    <row r="1455" spans="1:7" x14ac:dyDescent="0.25">
      <c r="A1455" s="2" t="s">
        <v>530</v>
      </c>
      <c r="B1455" s="2" t="s">
        <v>4023</v>
      </c>
      <c r="C1455" s="2" t="s">
        <v>490</v>
      </c>
      <c r="D1455" s="2" t="s">
        <v>4024</v>
      </c>
      <c r="E1455" s="3">
        <v>40275</v>
      </c>
      <c r="F1455">
        <f t="shared" si="44"/>
        <v>4</v>
      </c>
      <c r="G1455">
        <f t="shared" si="45"/>
        <v>2010</v>
      </c>
    </row>
    <row r="1456" spans="1:7" x14ac:dyDescent="0.25">
      <c r="A1456" s="2" t="s">
        <v>2497</v>
      </c>
      <c r="B1456" s="2" t="s">
        <v>772</v>
      </c>
      <c r="C1456" s="2" t="s">
        <v>494</v>
      </c>
      <c r="D1456" s="2" t="s">
        <v>2764</v>
      </c>
      <c r="E1456" s="3">
        <v>40275</v>
      </c>
      <c r="F1456">
        <f t="shared" si="44"/>
        <v>4</v>
      </c>
      <c r="G1456">
        <f t="shared" si="45"/>
        <v>2010</v>
      </c>
    </row>
    <row r="1457" spans="1:7" x14ac:dyDescent="0.25">
      <c r="A1457" s="2" t="s">
        <v>4169</v>
      </c>
      <c r="B1457" s="2" t="s">
        <v>4170</v>
      </c>
      <c r="C1457" s="2" t="s">
        <v>504</v>
      </c>
      <c r="D1457" s="2" t="s">
        <v>4171</v>
      </c>
      <c r="E1457" s="3">
        <v>40274</v>
      </c>
      <c r="F1457">
        <f t="shared" si="44"/>
        <v>4</v>
      </c>
      <c r="G1457">
        <f t="shared" si="45"/>
        <v>2010</v>
      </c>
    </row>
    <row r="1458" spans="1:7" x14ac:dyDescent="0.25">
      <c r="A1458" s="2" t="s">
        <v>3819</v>
      </c>
      <c r="B1458" s="2" t="s">
        <v>68</v>
      </c>
      <c r="C1458" s="2" t="s">
        <v>3835</v>
      </c>
      <c r="D1458" s="2" t="s">
        <v>4172</v>
      </c>
      <c r="E1458" s="3">
        <v>40273</v>
      </c>
      <c r="F1458">
        <f t="shared" si="44"/>
        <v>4</v>
      </c>
      <c r="G1458">
        <f t="shared" si="45"/>
        <v>2010</v>
      </c>
    </row>
    <row r="1459" spans="1:7" x14ac:dyDescent="0.25">
      <c r="A1459" s="2" t="s">
        <v>2857</v>
      </c>
      <c r="B1459" s="2" t="s">
        <v>4173</v>
      </c>
      <c r="C1459" s="2"/>
      <c r="D1459" s="2"/>
      <c r="E1459" s="3">
        <v>40272</v>
      </c>
      <c r="F1459">
        <f t="shared" si="44"/>
        <v>4</v>
      </c>
      <c r="G1459">
        <f t="shared" si="45"/>
        <v>2010</v>
      </c>
    </row>
    <row r="1460" spans="1:7" x14ac:dyDescent="0.25">
      <c r="A1460" s="2" t="s">
        <v>4174</v>
      </c>
      <c r="B1460" s="2" t="s">
        <v>425</v>
      </c>
      <c r="C1460" s="2" t="s">
        <v>4175</v>
      </c>
      <c r="D1460" s="2" t="s">
        <v>4176</v>
      </c>
      <c r="E1460" s="3">
        <v>40269</v>
      </c>
      <c r="F1460">
        <f t="shared" si="44"/>
        <v>4</v>
      </c>
      <c r="G1460">
        <f t="shared" si="45"/>
        <v>2010</v>
      </c>
    </row>
    <row r="1461" spans="1:7" x14ac:dyDescent="0.25">
      <c r="A1461" s="2" t="s">
        <v>4177</v>
      </c>
      <c r="B1461" s="2" t="s">
        <v>4178</v>
      </c>
      <c r="C1461" s="2" t="s">
        <v>609</v>
      </c>
      <c r="D1461" s="2" t="s">
        <v>201</v>
      </c>
      <c r="E1461" s="3">
        <v>40267</v>
      </c>
      <c r="F1461">
        <f t="shared" si="44"/>
        <v>3</v>
      </c>
      <c r="G1461">
        <f t="shared" si="45"/>
        <v>2010</v>
      </c>
    </row>
    <row r="1462" spans="1:7" x14ac:dyDescent="0.25">
      <c r="A1462" s="2" t="s">
        <v>4179</v>
      </c>
      <c r="B1462" s="2" t="s">
        <v>4180</v>
      </c>
      <c r="C1462" s="2" t="s">
        <v>4181</v>
      </c>
      <c r="D1462" s="2" t="s">
        <v>4182</v>
      </c>
      <c r="E1462" s="3">
        <v>40267</v>
      </c>
      <c r="F1462">
        <f t="shared" si="44"/>
        <v>3</v>
      </c>
      <c r="G1462">
        <f t="shared" si="45"/>
        <v>2010</v>
      </c>
    </row>
    <row r="1463" spans="1:7" x14ac:dyDescent="0.25">
      <c r="A1463" s="2" t="s">
        <v>3957</v>
      </c>
      <c r="B1463" s="2" t="s">
        <v>4183</v>
      </c>
      <c r="C1463" s="2" t="s">
        <v>4184</v>
      </c>
      <c r="D1463" s="2" t="s">
        <v>74</v>
      </c>
      <c r="E1463" s="3">
        <v>40266</v>
      </c>
      <c r="F1463">
        <f t="shared" si="44"/>
        <v>3</v>
      </c>
      <c r="G1463">
        <f t="shared" si="45"/>
        <v>2010</v>
      </c>
    </row>
    <row r="1464" spans="1:7" x14ac:dyDescent="0.25">
      <c r="A1464" s="2" t="s">
        <v>4185</v>
      </c>
      <c r="B1464" s="2" t="s">
        <v>4186</v>
      </c>
      <c r="C1464" s="2" t="s">
        <v>846</v>
      </c>
      <c r="D1464" s="2" t="s">
        <v>4187</v>
      </c>
      <c r="E1464" s="3">
        <v>40265</v>
      </c>
      <c r="F1464">
        <f t="shared" si="44"/>
        <v>3</v>
      </c>
      <c r="G1464">
        <f t="shared" si="45"/>
        <v>2010</v>
      </c>
    </row>
    <row r="1465" spans="1:7" x14ac:dyDescent="0.25">
      <c r="A1465" s="2" t="s">
        <v>3692</v>
      </c>
      <c r="B1465" s="2" t="s">
        <v>3693</v>
      </c>
      <c r="C1465" s="2" t="s">
        <v>3694</v>
      </c>
      <c r="D1465" s="2" t="s">
        <v>4188</v>
      </c>
      <c r="E1465" s="3">
        <v>40264</v>
      </c>
      <c r="F1465">
        <f t="shared" si="44"/>
        <v>3</v>
      </c>
      <c r="G1465">
        <f t="shared" si="45"/>
        <v>2010</v>
      </c>
    </row>
    <row r="1466" spans="1:7" x14ac:dyDescent="0.25">
      <c r="A1466" s="2" t="s">
        <v>1630</v>
      </c>
      <c r="B1466" s="2" t="s">
        <v>246</v>
      </c>
      <c r="C1466" s="2" t="s">
        <v>532</v>
      </c>
      <c r="D1466" s="2" t="s">
        <v>1026</v>
      </c>
      <c r="E1466" s="3">
        <v>40260</v>
      </c>
      <c r="F1466">
        <f t="shared" si="44"/>
        <v>3</v>
      </c>
      <c r="G1466">
        <f t="shared" si="45"/>
        <v>2010</v>
      </c>
    </row>
    <row r="1467" spans="1:7" ht="24" x14ac:dyDescent="0.25">
      <c r="A1467" s="2" t="s">
        <v>359</v>
      </c>
      <c r="B1467" s="2" t="s">
        <v>4189</v>
      </c>
      <c r="C1467" s="2" t="s">
        <v>4190</v>
      </c>
      <c r="D1467" s="2" t="s">
        <v>4191</v>
      </c>
      <c r="E1467" s="3">
        <v>40256</v>
      </c>
      <c r="F1467">
        <f t="shared" si="44"/>
        <v>3</v>
      </c>
      <c r="G1467">
        <f t="shared" si="45"/>
        <v>2010</v>
      </c>
    </row>
    <row r="1468" spans="1:7" x14ac:dyDescent="0.25">
      <c r="A1468" s="2" t="s">
        <v>60</v>
      </c>
      <c r="B1468" s="2" t="s">
        <v>4192</v>
      </c>
      <c r="C1468" s="2" t="s">
        <v>4193</v>
      </c>
      <c r="D1468" s="2" t="s">
        <v>4194</v>
      </c>
      <c r="E1468" s="3">
        <v>40252</v>
      </c>
      <c r="F1468">
        <f t="shared" si="44"/>
        <v>3</v>
      </c>
      <c r="G1468">
        <f t="shared" si="45"/>
        <v>2010</v>
      </c>
    </row>
    <row r="1469" spans="1:7" x14ac:dyDescent="0.25">
      <c r="A1469" s="2" t="s">
        <v>4195</v>
      </c>
      <c r="B1469" s="2" t="s">
        <v>4196</v>
      </c>
      <c r="C1469" s="2" t="s">
        <v>4197</v>
      </c>
      <c r="D1469" s="2" t="s">
        <v>4198</v>
      </c>
      <c r="E1469" s="3">
        <v>40248</v>
      </c>
      <c r="F1469">
        <f t="shared" si="44"/>
        <v>3</v>
      </c>
      <c r="G1469">
        <f t="shared" si="45"/>
        <v>2010</v>
      </c>
    </row>
    <row r="1470" spans="1:7" x14ac:dyDescent="0.25">
      <c r="A1470" s="2" t="s">
        <v>967</v>
      </c>
      <c r="B1470" s="2" t="s">
        <v>4199</v>
      </c>
      <c r="C1470" s="2" t="s">
        <v>4200</v>
      </c>
      <c r="D1470" s="2" t="s">
        <v>4201</v>
      </c>
      <c r="E1470" s="3">
        <v>40248</v>
      </c>
      <c r="F1470">
        <f t="shared" si="44"/>
        <v>3</v>
      </c>
      <c r="G1470">
        <f t="shared" si="45"/>
        <v>2010</v>
      </c>
    </row>
    <row r="1471" spans="1:7" x14ac:dyDescent="0.25">
      <c r="A1471" s="2" t="s">
        <v>4202</v>
      </c>
      <c r="B1471" s="2" t="s">
        <v>4203</v>
      </c>
      <c r="C1471" s="2"/>
      <c r="D1471" s="2"/>
      <c r="E1471" s="3">
        <v>40248</v>
      </c>
      <c r="F1471">
        <f t="shared" si="44"/>
        <v>3</v>
      </c>
      <c r="G1471">
        <f t="shared" si="45"/>
        <v>2010</v>
      </c>
    </row>
    <row r="1472" spans="1:7" x14ac:dyDescent="0.25">
      <c r="A1472" s="2" t="s">
        <v>4204</v>
      </c>
      <c r="B1472" s="2" t="s">
        <v>3778</v>
      </c>
      <c r="C1472" s="2" t="s">
        <v>3910</v>
      </c>
      <c r="D1472" s="2" t="s">
        <v>4205</v>
      </c>
      <c r="E1472" s="3">
        <v>40248</v>
      </c>
      <c r="F1472">
        <f t="shared" si="44"/>
        <v>3</v>
      </c>
      <c r="G1472">
        <f t="shared" si="45"/>
        <v>2010</v>
      </c>
    </row>
    <row r="1473" spans="1:7" ht="24" x14ac:dyDescent="0.25">
      <c r="A1473" s="2" t="s">
        <v>342</v>
      </c>
      <c r="B1473" s="2" t="s">
        <v>404</v>
      </c>
      <c r="C1473" s="2" t="s">
        <v>4206</v>
      </c>
      <c r="D1473" s="2" t="s">
        <v>4207</v>
      </c>
      <c r="E1473" s="3">
        <v>40248</v>
      </c>
      <c r="F1473">
        <f t="shared" si="44"/>
        <v>3</v>
      </c>
      <c r="G1473">
        <f t="shared" si="45"/>
        <v>2010</v>
      </c>
    </row>
    <row r="1474" spans="1:7" x14ac:dyDescent="0.25">
      <c r="A1474" s="2" t="s">
        <v>4208</v>
      </c>
      <c r="B1474" s="2" t="s">
        <v>4209</v>
      </c>
      <c r="C1474" s="2" t="s">
        <v>4210</v>
      </c>
      <c r="D1474" s="2" t="s">
        <v>419</v>
      </c>
      <c r="E1474" s="3">
        <v>40247</v>
      </c>
      <c r="F1474">
        <f t="shared" si="44"/>
        <v>3</v>
      </c>
      <c r="G1474">
        <f t="shared" si="45"/>
        <v>2010</v>
      </c>
    </row>
    <row r="1475" spans="1:7" x14ac:dyDescent="0.25">
      <c r="A1475" s="2" t="s">
        <v>4211</v>
      </c>
      <c r="B1475" s="2" t="s">
        <v>2861</v>
      </c>
      <c r="C1475" s="2" t="s">
        <v>4212</v>
      </c>
      <c r="D1475" s="2" t="s">
        <v>3838</v>
      </c>
      <c r="E1475" s="3">
        <v>40247</v>
      </c>
      <c r="F1475">
        <f t="shared" ref="F1475:F1523" si="46">MONTH(E1475)</f>
        <v>3</v>
      </c>
      <c r="G1475">
        <f t="shared" ref="G1475:G1523" si="47">YEAR(E1475)</f>
        <v>2010</v>
      </c>
    </row>
    <row r="1476" spans="1:7" x14ac:dyDescent="0.25">
      <c r="A1476" s="2" t="s">
        <v>4213</v>
      </c>
      <c r="B1476" s="2" t="s">
        <v>4214</v>
      </c>
      <c r="C1476" s="2" t="s">
        <v>4215</v>
      </c>
      <c r="D1476" s="2" t="s">
        <v>4216</v>
      </c>
      <c r="E1476" s="3">
        <v>40247</v>
      </c>
      <c r="F1476">
        <f t="shared" si="46"/>
        <v>3</v>
      </c>
      <c r="G1476">
        <f t="shared" si="47"/>
        <v>2010</v>
      </c>
    </row>
    <row r="1477" spans="1:7" x14ac:dyDescent="0.25">
      <c r="A1477" s="2" t="s">
        <v>3456</v>
      </c>
      <c r="B1477" s="2" t="s">
        <v>4217</v>
      </c>
      <c r="C1477" s="2" t="s">
        <v>4218</v>
      </c>
      <c r="D1477" s="2" t="s">
        <v>2859</v>
      </c>
      <c r="E1477" s="3">
        <v>40247</v>
      </c>
      <c r="F1477">
        <f t="shared" si="46"/>
        <v>3</v>
      </c>
      <c r="G1477">
        <f t="shared" si="47"/>
        <v>2010</v>
      </c>
    </row>
    <row r="1478" spans="1:7" x14ac:dyDescent="0.25">
      <c r="A1478" s="2" t="s">
        <v>4219</v>
      </c>
      <c r="B1478" s="2" t="s">
        <v>4220</v>
      </c>
      <c r="C1478" s="2" t="s">
        <v>4221</v>
      </c>
      <c r="D1478" s="2" t="s">
        <v>4222</v>
      </c>
      <c r="E1478" s="3">
        <v>40247</v>
      </c>
      <c r="F1478">
        <f t="shared" si="46"/>
        <v>3</v>
      </c>
      <c r="G1478">
        <f t="shared" si="47"/>
        <v>2010</v>
      </c>
    </row>
    <row r="1479" spans="1:7" x14ac:dyDescent="0.25">
      <c r="A1479" s="2" t="s">
        <v>4223</v>
      </c>
      <c r="B1479" s="2" t="s">
        <v>4224</v>
      </c>
      <c r="C1479" s="2" t="s">
        <v>3704</v>
      </c>
      <c r="D1479" s="2" t="s">
        <v>4225</v>
      </c>
      <c r="E1479" s="3">
        <v>40247</v>
      </c>
      <c r="F1479">
        <f t="shared" si="46"/>
        <v>3</v>
      </c>
      <c r="G1479">
        <f t="shared" si="47"/>
        <v>2010</v>
      </c>
    </row>
    <row r="1480" spans="1:7" x14ac:dyDescent="0.25">
      <c r="A1480" s="2" t="s">
        <v>2270</v>
      </c>
      <c r="B1480" s="2" t="s">
        <v>3142</v>
      </c>
      <c r="C1480" s="2" t="s">
        <v>4226</v>
      </c>
      <c r="D1480" s="2" t="s">
        <v>4227</v>
      </c>
      <c r="E1480" s="3">
        <v>40247</v>
      </c>
      <c r="F1480">
        <f t="shared" si="46"/>
        <v>3</v>
      </c>
      <c r="G1480">
        <f t="shared" si="47"/>
        <v>2010</v>
      </c>
    </row>
    <row r="1481" spans="1:7" x14ac:dyDescent="0.25">
      <c r="A1481" s="2" t="s">
        <v>3014</v>
      </c>
      <c r="B1481" s="2" t="s">
        <v>4228</v>
      </c>
      <c r="C1481" s="2" t="s">
        <v>576</v>
      </c>
      <c r="D1481" s="2" t="s">
        <v>4229</v>
      </c>
      <c r="E1481" s="3">
        <v>40247</v>
      </c>
      <c r="F1481">
        <f t="shared" si="46"/>
        <v>3</v>
      </c>
      <c r="G1481">
        <f t="shared" si="47"/>
        <v>2010</v>
      </c>
    </row>
    <row r="1482" spans="1:7" x14ac:dyDescent="0.25">
      <c r="A1482" s="2" t="s">
        <v>4230</v>
      </c>
      <c r="B1482" s="2" t="s">
        <v>4231</v>
      </c>
      <c r="C1482" s="2" t="s">
        <v>4232</v>
      </c>
      <c r="D1482" s="2" t="s">
        <v>74</v>
      </c>
      <c r="E1482" s="3">
        <v>40231</v>
      </c>
      <c r="F1482">
        <f t="shared" si="46"/>
        <v>2</v>
      </c>
      <c r="G1482">
        <f t="shared" si="47"/>
        <v>2010</v>
      </c>
    </row>
    <row r="1483" spans="1:7" x14ac:dyDescent="0.25">
      <c r="A1483" s="2" t="s">
        <v>4233</v>
      </c>
      <c r="B1483" s="2" t="s">
        <v>60</v>
      </c>
      <c r="C1483" s="2" t="s">
        <v>4234</v>
      </c>
      <c r="D1483" s="2" t="s">
        <v>4235</v>
      </c>
      <c r="E1483" s="3">
        <v>40223</v>
      </c>
      <c r="F1483">
        <f t="shared" si="46"/>
        <v>2</v>
      </c>
      <c r="G1483">
        <f t="shared" si="47"/>
        <v>2010</v>
      </c>
    </row>
    <row r="1484" spans="1:7" x14ac:dyDescent="0.25">
      <c r="A1484" s="2" t="s">
        <v>4236</v>
      </c>
      <c r="B1484" s="2" t="s">
        <v>4237</v>
      </c>
      <c r="C1484" s="2" t="s">
        <v>4238</v>
      </c>
      <c r="D1484" s="2" t="s">
        <v>2828</v>
      </c>
      <c r="E1484" s="3">
        <v>40220</v>
      </c>
      <c r="F1484">
        <f t="shared" si="46"/>
        <v>2</v>
      </c>
      <c r="G1484">
        <f t="shared" si="47"/>
        <v>2010</v>
      </c>
    </row>
    <row r="1485" spans="1:7" x14ac:dyDescent="0.25">
      <c r="A1485" s="2" t="s">
        <v>4239</v>
      </c>
      <c r="B1485" s="2" t="s">
        <v>4240</v>
      </c>
      <c r="C1485" s="2" t="s">
        <v>4241</v>
      </c>
      <c r="D1485" s="2" t="s">
        <v>4205</v>
      </c>
      <c r="E1485" s="3">
        <v>40212</v>
      </c>
      <c r="F1485">
        <f t="shared" si="46"/>
        <v>2</v>
      </c>
      <c r="G1485">
        <f t="shared" si="47"/>
        <v>2010</v>
      </c>
    </row>
    <row r="1486" spans="1:7" x14ac:dyDescent="0.25">
      <c r="A1486" s="2" t="s">
        <v>4242</v>
      </c>
      <c r="B1486" s="2" t="s">
        <v>4243</v>
      </c>
      <c r="C1486" s="2" t="s">
        <v>4244</v>
      </c>
      <c r="D1486" s="2" t="s">
        <v>4245</v>
      </c>
      <c r="E1486" s="3">
        <v>40212</v>
      </c>
      <c r="F1486">
        <f t="shared" si="46"/>
        <v>2</v>
      </c>
      <c r="G1486">
        <f t="shared" si="47"/>
        <v>2010</v>
      </c>
    </row>
    <row r="1487" spans="1:7" x14ac:dyDescent="0.25">
      <c r="A1487" s="2" t="s">
        <v>4246</v>
      </c>
      <c r="B1487" s="2" t="s">
        <v>4247</v>
      </c>
      <c r="C1487" s="2" t="s">
        <v>479</v>
      </c>
      <c r="D1487" s="2" t="s">
        <v>419</v>
      </c>
      <c r="E1487" s="3">
        <v>40208</v>
      </c>
      <c r="F1487">
        <f t="shared" si="46"/>
        <v>1</v>
      </c>
      <c r="G1487">
        <f t="shared" si="47"/>
        <v>2010</v>
      </c>
    </row>
    <row r="1488" spans="1:7" x14ac:dyDescent="0.25">
      <c r="A1488" s="2" t="s">
        <v>403</v>
      </c>
      <c r="B1488" s="2" t="s">
        <v>4248</v>
      </c>
      <c r="C1488" s="2" t="s">
        <v>925</v>
      </c>
      <c r="D1488" s="2" t="s">
        <v>4249</v>
      </c>
      <c r="E1488" s="3">
        <v>40203</v>
      </c>
      <c r="F1488">
        <f t="shared" si="46"/>
        <v>1</v>
      </c>
      <c r="G1488">
        <f t="shared" si="47"/>
        <v>2010</v>
      </c>
    </row>
    <row r="1489" spans="1:7" x14ac:dyDescent="0.25">
      <c r="A1489" s="2" t="s">
        <v>3193</v>
      </c>
      <c r="B1489" s="2" t="s">
        <v>3194</v>
      </c>
      <c r="C1489" s="2" t="s">
        <v>576</v>
      </c>
      <c r="D1489" s="2" t="s">
        <v>2711</v>
      </c>
      <c r="E1489" s="3">
        <v>40203</v>
      </c>
      <c r="F1489">
        <f t="shared" si="46"/>
        <v>1</v>
      </c>
      <c r="G1489">
        <f t="shared" si="47"/>
        <v>2010</v>
      </c>
    </row>
    <row r="1490" spans="1:7" x14ac:dyDescent="0.25">
      <c r="A1490" s="2" t="s">
        <v>4250</v>
      </c>
      <c r="B1490" s="2" t="s">
        <v>4251</v>
      </c>
      <c r="C1490" s="2" t="s">
        <v>65</v>
      </c>
      <c r="D1490" s="2" t="s">
        <v>509</v>
      </c>
      <c r="E1490" s="3">
        <v>40202</v>
      </c>
      <c r="F1490">
        <f t="shared" si="46"/>
        <v>1</v>
      </c>
      <c r="G1490">
        <f t="shared" si="47"/>
        <v>2010</v>
      </c>
    </row>
    <row r="1491" spans="1:7" x14ac:dyDescent="0.25">
      <c r="A1491" s="2" t="s">
        <v>4252</v>
      </c>
      <c r="B1491" s="2" t="s">
        <v>4253</v>
      </c>
      <c r="C1491" s="2" t="s">
        <v>4254</v>
      </c>
      <c r="D1491" s="2" t="s">
        <v>2557</v>
      </c>
      <c r="E1491" s="3">
        <v>40197</v>
      </c>
      <c r="F1491">
        <f t="shared" si="46"/>
        <v>1</v>
      </c>
      <c r="G1491">
        <f t="shared" si="47"/>
        <v>2010</v>
      </c>
    </row>
    <row r="1492" spans="1:7" x14ac:dyDescent="0.25">
      <c r="A1492" s="2" t="s">
        <v>1570</v>
      </c>
      <c r="B1492" s="2" t="s">
        <v>3161</v>
      </c>
      <c r="C1492" s="2" t="s">
        <v>4255</v>
      </c>
      <c r="D1492" s="2" t="s">
        <v>4256</v>
      </c>
      <c r="E1492" s="3">
        <v>40190</v>
      </c>
      <c r="F1492">
        <f t="shared" si="46"/>
        <v>1</v>
      </c>
      <c r="G1492">
        <f t="shared" si="47"/>
        <v>2010</v>
      </c>
    </row>
    <row r="1493" spans="1:7" x14ac:dyDescent="0.25">
      <c r="A1493" s="2" t="s">
        <v>1104</v>
      </c>
      <c r="B1493" s="2" t="s">
        <v>4257</v>
      </c>
      <c r="C1493" s="2" t="s">
        <v>576</v>
      </c>
      <c r="D1493" s="2" t="s">
        <v>4258</v>
      </c>
      <c r="E1493" s="3">
        <v>40185</v>
      </c>
      <c r="F1493">
        <f t="shared" si="46"/>
        <v>1</v>
      </c>
      <c r="G1493">
        <f t="shared" si="47"/>
        <v>2010</v>
      </c>
    </row>
    <row r="1494" spans="1:7" x14ac:dyDescent="0.25">
      <c r="A1494" s="2" t="s">
        <v>4259</v>
      </c>
      <c r="B1494" s="2" t="s">
        <v>4260</v>
      </c>
      <c r="C1494" s="2" t="s">
        <v>4261</v>
      </c>
      <c r="D1494" s="2" t="s">
        <v>2828</v>
      </c>
      <c r="E1494" s="3">
        <v>40184</v>
      </c>
      <c r="F1494">
        <f t="shared" si="46"/>
        <v>1</v>
      </c>
      <c r="G1494">
        <f t="shared" si="47"/>
        <v>2010</v>
      </c>
    </row>
    <row r="1495" spans="1:7" x14ac:dyDescent="0.25">
      <c r="A1495" s="2" t="s">
        <v>4262</v>
      </c>
      <c r="B1495" s="2" t="s">
        <v>4263</v>
      </c>
      <c r="C1495" s="2" t="s">
        <v>4264</v>
      </c>
      <c r="D1495" s="2" t="s">
        <v>3938</v>
      </c>
      <c r="E1495" s="3">
        <v>40184</v>
      </c>
      <c r="F1495">
        <f t="shared" si="46"/>
        <v>1</v>
      </c>
      <c r="G1495">
        <f t="shared" si="47"/>
        <v>2010</v>
      </c>
    </row>
    <row r="1496" spans="1:7" x14ac:dyDescent="0.25">
      <c r="A1496" s="2" t="s">
        <v>1071</v>
      </c>
      <c r="B1496" s="2" t="s">
        <v>4265</v>
      </c>
      <c r="C1496" s="2" t="s">
        <v>4266</v>
      </c>
      <c r="D1496" s="2" t="s">
        <v>4267</v>
      </c>
      <c r="E1496" s="3">
        <v>40183</v>
      </c>
      <c r="F1496">
        <f t="shared" si="46"/>
        <v>1</v>
      </c>
      <c r="G1496">
        <f t="shared" si="47"/>
        <v>2010</v>
      </c>
    </row>
    <row r="1497" spans="1:7" x14ac:dyDescent="0.25">
      <c r="A1497" s="2" t="s">
        <v>4268</v>
      </c>
      <c r="B1497" s="2" t="s">
        <v>4269</v>
      </c>
      <c r="C1497" s="2" t="s">
        <v>576</v>
      </c>
      <c r="D1497" s="2" t="s">
        <v>502</v>
      </c>
      <c r="E1497" s="3">
        <v>40183</v>
      </c>
      <c r="F1497">
        <f t="shared" si="46"/>
        <v>1</v>
      </c>
      <c r="G1497">
        <f t="shared" si="47"/>
        <v>2010</v>
      </c>
    </row>
    <row r="1498" spans="1:7" x14ac:dyDescent="0.25">
      <c r="A1498" s="2" t="s">
        <v>4270</v>
      </c>
      <c r="B1498" s="2" t="s">
        <v>181</v>
      </c>
      <c r="C1498" s="2" t="s">
        <v>576</v>
      </c>
      <c r="D1498" s="2" t="s">
        <v>4271</v>
      </c>
      <c r="E1498" s="3">
        <v>40183</v>
      </c>
      <c r="F1498">
        <f t="shared" si="46"/>
        <v>1</v>
      </c>
      <c r="G1498">
        <f t="shared" si="47"/>
        <v>2010</v>
      </c>
    </row>
    <row r="1499" spans="1:7" x14ac:dyDescent="0.25">
      <c r="A1499" s="2" t="s">
        <v>4272</v>
      </c>
      <c r="B1499" s="2" t="s">
        <v>4273</v>
      </c>
      <c r="C1499" s="2" t="s">
        <v>2722</v>
      </c>
      <c r="D1499" s="2" t="s">
        <v>670</v>
      </c>
      <c r="E1499" s="3">
        <v>40183</v>
      </c>
      <c r="F1499">
        <f t="shared" si="46"/>
        <v>1</v>
      </c>
      <c r="G1499">
        <f t="shared" si="47"/>
        <v>2010</v>
      </c>
    </row>
    <row r="1500" spans="1:7" x14ac:dyDescent="0.25">
      <c r="A1500" s="2" t="s">
        <v>734</v>
      </c>
      <c r="B1500" s="2" t="s">
        <v>4274</v>
      </c>
      <c r="C1500" s="2" t="s">
        <v>3474</v>
      </c>
      <c r="D1500" s="2" t="s">
        <v>4275</v>
      </c>
      <c r="E1500" s="3">
        <v>40180</v>
      </c>
      <c r="F1500">
        <f t="shared" si="46"/>
        <v>1</v>
      </c>
      <c r="G1500">
        <f t="shared" si="47"/>
        <v>2010</v>
      </c>
    </row>
    <row r="1501" spans="1:7" x14ac:dyDescent="0.25">
      <c r="A1501" s="2" t="s">
        <v>1258</v>
      </c>
      <c r="B1501" s="2" t="s">
        <v>4276</v>
      </c>
      <c r="C1501" s="2" t="s">
        <v>4277</v>
      </c>
      <c r="D1501" s="2" t="s">
        <v>4278</v>
      </c>
      <c r="E1501" s="3">
        <v>40178</v>
      </c>
      <c r="F1501">
        <f t="shared" si="46"/>
        <v>12</v>
      </c>
      <c r="G1501">
        <f t="shared" si="47"/>
        <v>2009</v>
      </c>
    </row>
    <row r="1502" spans="1:7" x14ac:dyDescent="0.25">
      <c r="A1502" s="2" t="s">
        <v>4279</v>
      </c>
      <c r="B1502" s="2" t="s">
        <v>181</v>
      </c>
      <c r="C1502" s="2" t="s">
        <v>4280</v>
      </c>
      <c r="D1502" s="2" t="s">
        <v>4281</v>
      </c>
      <c r="E1502" s="3">
        <v>40175</v>
      </c>
      <c r="F1502">
        <f t="shared" si="46"/>
        <v>12</v>
      </c>
      <c r="G1502">
        <f t="shared" si="47"/>
        <v>2009</v>
      </c>
    </row>
    <row r="1503" spans="1:7" x14ac:dyDescent="0.25">
      <c r="A1503" s="2" t="s">
        <v>4282</v>
      </c>
      <c r="B1503" s="2" t="s">
        <v>2604</v>
      </c>
      <c r="C1503" s="2" t="s">
        <v>3277</v>
      </c>
      <c r="D1503" s="2" t="s">
        <v>4283</v>
      </c>
      <c r="E1503" s="3">
        <v>40175</v>
      </c>
      <c r="F1503">
        <f t="shared" si="46"/>
        <v>12</v>
      </c>
      <c r="G1503">
        <f t="shared" si="47"/>
        <v>2009</v>
      </c>
    </row>
    <row r="1504" spans="1:7" x14ac:dyDescent="0.25">
      <c r="A1504" s="2" t="s">
        <v>1418</v>
      </c>
      <c r="B1504" s="2" t="s">
        <v>4284</v>
      </c>
      <c r="C1504" s="2" t="s">
        <v>4157</v>
      </c>
      <c r="D1504" s="2" t="s">
        <v>4285</v>
      </c>
      <c r="E1504" s="3">
        <v>40175</v>
      </c>
      <c r="F1504">
        <f t="shared" si="46"/>
        <v>12</v>
      </c>
      <c r="G1504">
        <f t="shared" si="47"/>
        <v>2009</v>
      </c>
    </row>
    <row r="1505" spans="1:7" ht="24" x14ac:dyDescent="0.25">
      <c r="A1505" s="2" t="s">
        <v>4286</v>
      </c>
      <c r="B1505" s="2" t="s">
        <v>3261</v>
      </c>
      <c r="C1505" s="2" t="s">
        <v>956</v>
      </c>
      <c r="D1505" s="2" t="s">
        <v>4287</v>
      </c>
      <c r="E1505" s="3">
        <v>40174</v>
      </c>
      <c r="F1505">
        <f t="shared" si="46"/>
        <v>12</v>
      </c>
      <c r="G1505">
        <f t="shared" si="47"/>
        <v>2009</v>
      </c>
    </row>
    <row r="1506" spans="1:7" x14ac:dyDescent="0.25">
      <c r="A1506" s="2" t="s">
        <v>1016</v>
      </c>
      <c r="B1506" s="2" t="s">
        <v>4156</v>
      </c>
      <c r="C1506" s="2" t="s">
        <v>2698</v>
      </c>
      <c r="D1506" s="2" t="s">
        <v>4288</v>
      </c>
      <c r="E1506" s="3">
        <v>40172</v>
      </c>
      <c r="F1506">
        <f t="shared" si="46"/>
        <v>12</v>
      </c>
      <c r="G1506">
        <f t="shared" si="47"/>
        <v>2009</v>
      </c>
    </row>
    <row r="1507" spans="1:7" x14ac:dyDescent="0.25">
      <c r="A1507" s="2" t="s">
        <v>4289</v>
      </c>
      <c r="B1507" s="2" t="s">
        <v>4290</v>
      </c>
      <c r="C1507" s="2" t="s">
        <v>4291</v>
      </c>
      <c r="D1507" s="2" t="s">
        <v>4292</v>
      </c>
      <c r="E1507" s="3">
        <v>40172</v>
      </c>
      <c r="F1507">
        <f t="shared" si="46"/>
        <v>12</v>
      </c>
      <c r="G1507">
        <f t="shared" si="47"/>
        <v>2009</v>
      </c>
    </row>
    <row r="1508" spans="1:7" x14ac:dyDescent="0.25">
      <c r="A1508" s="2" t="s">
        <v>4293</v>
      </c>
      <c r="B1508" s="2" t="s">
        <v>4294</v>
      </c>
      <c r="C1508" s="2" t="s">
        <v>4295</v>
      </c>
      <c r="D1508" s="2" t="s">
        <v>4296</v>
      </c>
      <c r="E1508" s="3">
        <v>40171</v>
      </c>
      <c r="F1508">
        <f t="shared" si="46"/>
        <v>12</v>
      </c>
      <c r="G1508">
        <f t="shared" si="47"/>
        <v>2009</v>
      </c>
    </row>
    <row r="1509" spans="1:7" x14ac:dyDescent="0.25">
      <c r="A1509" s="2" t="s">
        <v>1785</v>
      </c>
      <c r="B1509" s="2" t="s">
        <v>4297</v>
      </c>
      <c r="C1509" s="2" t="s">
        <v>501</v>
      </c>
      <c r="D1509" s="2" t="s">
        <v>365</v>
      </c>
      <c r="E1509" s="3">
        <v>40171</v>
      </c>
      <c r="F1509">
        <f t="shared" si="46"/>
        <v>12</v>
      </c>
      <c r="G1509">
        <f t="shared" si="47"/>
        <v>2009</v>
      </c>
    </row>
    <row r="1510" spans="1:7" x14ac:dyDescent="0.25">
      <c r="A1510" s="2" t="s">
        <v>4298</v>
      </c>
      <c r="B1510" s="2" t="s">
        <v>4299</v>
      </c>
      <c r="C1510" s="2" t="s">
        <v>4300</v>
      </c>
      <c r="D1510" s="2" t="s">
        <v>3390</v>
      </c>
      <c r="E1510" s="3">
        <v>40171</v>
      </c>
      <c r="F1510">
        <f t="shared" si="46"/>
        <v>12</v>
      </c>
      <c r="G1510">
        <f t="shared" si="47"/>
        <v>2009</v>
      </c>
    </row>
    <row r="1511" spans="1:7" ht="24" x14ac:dyDescent="0.25">
      <c r="A1511" s="2" t="s">
        <v>4301</v>
      </c>
      <c r="B1511" s="2" t="s">
        <v>3921</v>
      </c>
      <c r="C1511" s="2" t="s">
        <v>4302</v>
      </c>
      <c r="D1511" s="2" t="s">
        <v>4303</v>
      </c>
      <c r="E1511" s="3">
        <v>40170</v>
      </c>
      <c r="F1511">
        <f t="shared" si="46"/>
        <v>12</v>
      </c>
      <c r="G1511">
        <f t="shared" si="47"/>
        <v>2009</v>
      </c>
    </row>
    <row r="1512" spans="1:7" ht="24" x14ac:dyDescent="0.25">
      <c r="A1512" s="2" t="s">
        <v>4304</v>
      </c>
      <c r="B1512" s="2" t="s">
        <v>4305</v>
      </c>
      <c r="C1512" s="2" t="s">
        <v>4306</v>
      </c>
      <c r="D1512" s="2" t="s">
        <v>4307</v>
      </c>
      <c r="E1512" s="3">
        <v>40170</v>
      </c>
      <c r="F1512">
        <f t="shared" si="46"/>
        <v>12</v>
      </c>
      <c r="G1512">
        <f t="shared" si="47"/>
        <v>2009</v>
      </c>
    </row>
    <row r="1513" spans="1:7" x14ac:dyDescent="0.25">
      <c r="A1513" s="2" t="s">
        <v>349</v>
      </c>
      <c r="B1513" s="2" t="s">
        <v>60</v>
      </c>
      <c r="C1513" s="2" t="s">
        <v>736</v>
      </c>
      <c r="D1513" s="2" t="s">
        <v>4308</v>
      </c>
      <c r="E1513" s="3">
        <v>40170</v>
      </c>
      <c r="F1513">
        <f t="shared" si="46"/>
        <v>12</v>
      </c>
      <c r="G1513">
        <f t="shared" si="47"/>
        <v>2009</v>
      </c>
    </row>
    <row r="1514" spans="1:7" x14ac:dyDescent="0.25">
      <c r="A1514" s="2" t="s">
        <v>4309</v>
      </c>
      <c r="B1514" s="2" t="s">
        <v>4173</v>
      </c>
      <c r="C1514" s="2" t="s">
        <v>4310</v>
      </c>
      <c r="D1514" s="2" t="s">
        <v>4311</v>
      </c>
      <c r="E1514" s="3">
        <v>40170</v>
      </c>
      <c r="F1514">
        <f t="shared" si="46"/>
        <v>12</v>
      </c>
      <c r="G1514">
        <f t="shared" si="47"/>
        <v>2009</v>
      </c>
    </row>
    <row r="1515" spans="1:7" x14ac:dyDescent="0.25">
      <c r="A1515" s="2" t="s">
        <v>4312</v>
      </c>
      <c r="B1515" s="2" t="s">
        <v>181</v>
      </c>
      <c r="C1515" s="2" t="s">
        <v>4313</v>
      </c>
      <c r="D1515" s="2" t="s">
        <v>4314</v>
      </c>
      <c r="E1515" s="3">
        <v>40170</v>
      </c>
      <c r="F1515">
        <f t="shared" si="46"/>
        <v>12</v>
      </c>
      <c r="G1515">
        <f t="shared" si="47"/>
        <v>2009</v>
      </c>
    </row>
    <row r="1516" spans="1:7" x14ac:dyDescent="0.25">
      <c r="A1516" s="2" t="s">
        <v>4315</v>
      </c>
      <c r="B1516" s="2" t="s">
        <v>4316</v>
      </c>
      <c r="C1516" s="2" t="s">
        <v>4317</v>
      </c>
      <c r="D1516" s="2" t="s">
        <v>388</v>
      </c>
      <c r="E1516" s="3">
        <v>40170</v>
      </c>
      <c r="F1516">
        <f t="shared" si="46"/>
        <v>12</v>
      </c>
      <c r="G1516">
        <f t="shared" si="47"/>
        <v>2009</v>
      </c>
    </row>
    <row r="1517" spans="1:7" ht="24" x14ac:dyDescent="0.25">
      <c r="A1517" s="2" t="s">
        <v>4318</v>
      </c>
      <c r="B1517" s="2" t="s">
        <v>4319</v>
      </c>
      <c r="C1517" s="2" t="s">
        <v>4320</v>
      </c>
      <c r="D1517" s="2" t="s">
        <v>4321</v>
      </c>
      <c r="E1517" s="3">
        <v>40170</v>
      </c>
      <c r="F1517">
        <f t="shared" si="46"/>
        <v>12</v>
      </c>
      <c r="G1517">
        <f t="shared" si="47"/>
        <v>2009</v>
      </c>
    </row>
    <row r="1518" spans="1:7" x14ac:dyDescent="0.25">
      <c r="A1518" s="2" t="s">
        <v>4322</v>
      </c>
      <c r="B1518" s="2" t="s">
        <v>2670</v>
      </c>
      <c r="C1518" s="2" t="s">
        <v>4323</v>
      </c>
      <c r="D1518" s="2" t="s">
        <v>4324</v>
      </c>
      <c r="E1518" s="3">
        <v>40170</v>
      </c>
      <c r="F1518">
        <f t="shared" si="46"/>
        <v>12</v>
      </c>
      <c r="G1518">
        <f t="shared" si="47"/>
        <v>2009</v>
      </c>
    </row>
    <row r="1519" spans="1:7" x14ac:dyDescent="0.25">
      <c r="A1519" s="2" t="s">
        <v>4325</v>
      </c>
      <c r="B1519" s="2" t="s">
        <v>4326</v>
      </c>
      <c r="C1519" s="2" t="s">
        <v>4327</v>
      </c>
      <c r="D1519" s="2" t="s">
        <v>4328</v>
      </c>
      <c r="E1519" s="3">
        <v>40170</v>
      </c>
      <c r="F1519">
        <f t="shared" si="46"/>
        <v>12</v>
      </c>
      <c r="G1519">
        <f t="shared" si="47"/>
        <v>2009</v>
      </c>
    </row>
    <row r="1520" spans="1:7" x14ac:dyDescent="0.25">
      <c r="A1520" s="2" t="s">
        <v>4329</v>
      </c>
      <c r="B1520" s="2" t="s">
        <v>4330</v>
      </c>
      <c r="C1520" s="2" t="s">
        <v>4331</v>
      </c>
      <c r="D1520" s="2" t="s">
        <v>4332</v>
      </c>
      <c r="E1520" s="3">
        <v>40170</v>
      </c>
      <c r="F1520">
        <f t="shared" si="46"/>
        <v>12</v>
      </c>
      <c r="G1520">
        <f t="shared" si="47"/>
        <v>2009</v>
      </c>
    </row>
    <row r="1521" spans="1:7" x14ac:dyDescent="0.25">
      <c r="A1521" s="2" t="s">
        <v>4333</v>
      </c>
      <c r="B1521" s="2" t="s">
        <v>4334</v>
      </c>
      <c r="C1521" s="2" t="s">
        <v>4335</v>
      </c>
      <c r="D1521" s="2" t="s">
        <v>3524</v>
      </c>
      <c r="E1521" s="3">
        <v>40170</v>
      </c>
      <c r="F1521">
        <f t="shared" si="46"/>
        <v>12</v>
      </c>
      <c r="G1521">
        <f t="shared" si="47"/>
        <v>2009</v>
      </c>
    </row>
    <row r="1522" spans="1:7" x14ac:dyDescent="0.25">
      <c r="A1522" s="2" t="s">
        <v>4336</v>
      </c>
      <c r="B1522" s="2" t="s">
        <v>4337</v>
      </c>
      <c r="C1522" s="2" t="s">
        <v>4338</v>
      </c>
      <c r="D1522" s="2" t="s">
        <v>3848</v>
      </c>
      <c r="E1522" s="3">
        <v>40170</v>
      </c>
      <c r="F1522">
        <f t="shared" si="46"/>
        <v>12</v>
      </c>
      <c r="G1522">
        <f t="shared" si="47"/>
        <v>2009</v>
      </c>
    </row>
    <row r="1523" spans="1:7" ht="24" x14ac:dyDescent="0.25">
      <c r="A1523" s="2" t="s">
        <v>1104</v>
      </c>
      <c r="B1523" s="2" t="s">
        <v>181</v>
      </c>
      <c r="C1523" s="2" t="s">
        <v>4339</v>
      </c>
      <c r="D1523" s="2" t="s">
        <v>193</v>
      </c>
      <c r="E1523" s="3">
        <v>40170</v>
      </c>
      <c r="F1523">
        <f t="shared" si="46"/>
        <v>12</v>
      </c>
      <c r="G1523">
        <f t="shared" si="47"/>
        <v>2009</v>
      </c>
    </row>
  </sheetData>
  <autoFilter ref="A1:G1523" xr:uid="{8B16CDFC-EA63-4761-B077-F427CBECA685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5B10-73E3-46BB-860D-04377AD74E2F}">
  <dimension ref="A1:B978"/>
  <sheetViews>
    <sheetView workbookViewId="0">
      <selection sqref="A1:B970"/>
    </sheetView>
  </sheetViews>
  <sheetFormatPr defaultRowHeight="15" x14ac:dyDescent="0.25"/>
  <cols>
    <col min="1" max="1" width="53.5703125" style="6" customWidth="1"/>
    <col min="2" max="2" width="15.85546875" style="6" bestFit="1" customWidth="1"/>
    <col min="3" max="16384" width="9.140625" style="5"/>
  </cols>
  <sheetData>
    <row r="1" spans="1:2" x14ac:dyDescent="0.25">
      <c r="A1" s="7" t="s">
        <v>2</v>
      </c>
      <c r="B1" s="7" t="s">
        <v>4340</v>
      </c>
    </row>
    <row r="2" spans="1:2" x14ac:dyDescent="0.25">
      <c r="A2" s="7" t="s">
        <v>2110</v>
      </c>
      <c r="B2" s="7">
        <f>COUNTIFS(Sheet1!C:C,Sheet2!A2)</f>
        <v>1</v>
      </c>
    </row>
    <row r="3" spans="1:2" x14ac:dyDescent="0.25">
      <c r="A3" s="7" t="s">
        <v>2036</v>
      </c>
      <c r="B3" s="7">
        <f>COUNTIFS(Sheet1!C:C,Sheet2!A3)</f>
        <v>1</v>
      </c>
    </row>
    <row r="4" spans="1:2" x14ac:dyDescent="0.25">
      <c r="A4" s="7" t="s">
        <v>4067</v>
      </c>
      <c r="B4" s="7">
        <f>COUNTIFS(Sheet1!C:C,Sheet2!A4)</f>
        <v>1</v>
      </c>
    </row>
    <row r="5" spans="1:2" x14ac:dyDescent="0.25">
      <c r="A5" s="7" t="s">
        <v>1353</v>
      </c>
      <c r="B5" s="7">
        <f>COUNTIFS(Sheet1!C:C,Sheet2!A5)</f>
        <v>1</v>
      </c>
    </row>
    <row r="6" spans="1:2" x14ac:dyDescent="0.25">
      <c r="A6" s="7" t="s">
        <v>2466</v>
      </c>
      <c r="B6" s="7">
        <f>COUNTIFS(Sheet1!C:C,Sheet2!A6)</f>
        <v>1</v>
      </c>
    </row>
    <row r="7" spans="1:2" x14ac:dyDescent="0.25">
      <c r="A7" s="7" t="s">
        <v>1733</v>
      </c>
      <c r="B7" s="7">
        <f>COUNTIFS(Sheet1!C:C,Sheet2!A7)</f>
        <v>1</v>
      </c>
    </row>
    <row r="8" spans="1:2" x14ac:dyDescent="0.25">
      <c r="A8" s="7" t="s">
        <v>2127</v>
      </c>
      <c r="B8" s="7">
        <f>COUNTIFS(Sheet1!C:C,Sheet2!A8)</f>
        <v>1</v>
      </c>
    </row>
    <row r="9" spans="1:2" x14ac:dyDescent="0.25">
      <c r="A9" s="7" t="s">
        <v>1430</v>
      </c>
      <c r="B9" s="7">
        <f>COUNTIFS(Sheet1!C:C,Sheet2!A9)</f>
        <v>1</v>
      </c>
    </row>
    <row r="10" spans="1:2" x14ac:dyDescent="0.25">
      <c r="A10" s="7" t="s">
        <v>864</v>
      </c>
      <c r="B10" s="7">
        <f>COUNTIFS(Sheet1!C:C,Sheet2!A10)</f>
        <v>2</v>
      </c>
    </row>
    <row r="11" spans="1:2" x14ac:dyDescent="0.25">
      <c r="A11" s="7" t="s">
        <v>2540</v>
      </c>
      <c r="B11" s="7">
        <f>COUNTIFS(Sheet1!C:C,Sheet2!A11)</f>
        <v>1</v>
      </c>
    </row>
    <row r="12" spans="1:2" x14ac:dyDescent="0.25">
      <c r="A12" s="7" t="s">
        <v>890</v>
      </c>
      <c r="B12" s="7">
        <f>COUNTIFS(Sheet1!C:C,Sheet2!A12)</f>
        <v>1</v>
      </c>
    </row>
    <row r="13" spans="1:2" x14ac:dyDescent="0.25">
      <c r="A13" s="7" t="s">
        <v>3810</v>
      </c>
      <c r="B13" s="7">
        <f>COUNTIFS(Sheet1!C:C,Sheet2!A13)</f>
        <v>1</v>
      </c>
    </row>
    <row r="14" spans="1:2" x14ac:dyDescent="0.25">
      <c r="A14" s="7" t="s">
        <v>3659</v>
      </c>
      <c r="B14" s="7">
        <f>COUNTIFS(Sheet1!C:C,Sheet2!A14)</f>
        <v>1</v>
      </c>
    </row>
    <row r="15" spans="1:2" x14ac:dyDescent="0.25">
      <c r="A15" s="7" t="s">
        <v>3345</v>
      </c>
      <c r="B15" s="7">
        <f>COUNTIFS(Sheet1!C:C,Sheet2!A15)</f>
        <v>1</v>
      </c>
    </row>
    <row r="16" spans="1:2" x14ac:dyDescent="0.25">
      <c r="A16" s="7" t="s">
        <v>714</v>
      </c>
      <c r="B16" s="7">
        <f>COUNTIFS(Sheet1!C:C,Sheet2!A16)</f>
        <v>1</v>
      </c>
    </row>
    <row r="17" spans="1:2" x14ac:dyDescent="0.25">
      <c r="A17" s="7" t="s">
        <v>3315</v>
      </c>
      <c r="B17" s="7">
        <f>COUNTIFS(Sheet1!C:C,Sheet2!A17)</f>
        <v>1</v>
      </c>
    </row>
    <row r="18" spans="1:2" x14ac:dyDescent="0.25">
      <c r="A18" s="7" t="s">
        <v>3029</v>
      </c>
      <c r="B18" s="7">
        <f>COUNTIFS(Sheet1!C:C,Sheet2!A18)</f>
        <v>1</v>
      </c>
    </row>
    <row r="19" spans="1:2" x14ac:dyDescent="0.25">
      <c r="A19" s="7" t="s">
        <v>117</v>
      </c>
      <c r="B19" s="7">
        <f>COUNTIFS(Sheet1!C:C,Sheet2!A19)</f>
        <v>12</v>
      </c>
    </row>
    <row r="20" spans="1:2" x14ac:dyDescent="0.25">
      <c r="A20" s="7" t="s">
        <v>681</v>
      </c>
      <c r="B20" s="7">
        <f>COUNTIFS(Sheet1!C:C,Sheet2!A20)</f>
        <v>1</v>
      </c>
    </row>
    <row r="21" spans="1:2" x14ac:dyDescent="0.25">
      <c r="A21" s="7" t="s">
        <v>616</v>
      </c>
      <c r="B21" s="7">
        <f>COUNTIFS(Sheet1!C:C,Sheet2!A21)</f>
        <v>1</v>
      </c>
    </row>
    <row r="22" spans="1:2" x14ac:dyDescent="0.25">
      <c r="A22" s="7" t="s">
        <v>3625</v>
      </c>
      <c r="B22" s="7">
        <f>COUNTIFS(Sheet1!C:C,Sheet2!A22)</f>
        <v>1</v>
      </c>
    </row>
    <row r="23" spans="1:2" x14ac:dyDescent="0.25">
      <c r="A23" s="7" t="s">
        <v>3283</v>
      </c>
      <c r="B23" s="7">
        <f>COUNTIFS(Sheet1!C:C,Sheet2!A23)</f>
        <v>1</v>
      </c>
    </row>
    <row r="24" spans="1:2" x14ac:dyDescent="0.25">
      <c r="A24" s="7" t="s">
        <v>3667</v>
      </c>
      <c r="B24" s="7">
        <f>COUNTIFS(Sheet1!C:C,Sheet2!A24)</f>
        <v>1</v>
      </c>
    </row>
    <row r="25" spans="1:2" x14ac:dyDescent="0.25">
      <c r="A25" s="7" t="s">
        <v>1913</v>
      </c>
      <c r="B25" s="7">
        <f>COUNTIFS(Sheet1!C:C,Sheet2!A25)</f>
        <v>1</v>
      </c>
    </row>
    <row r="26" spans="1:2" x14ac:dyDescent="0.25">
      <c r="A26" s="7" t="s">
        <v>1821</v>
      </c>
      <c r="B26" s="7">
        <f>COUNTIFS(Sheet1!C:C,Sheet2!A26)</f>
        <v>1</v>
      </c>
    </row>
    <row r="27" spans="1:2" x14ac:dyDescent="0.25">
      <c r="A27" s="7" t="s">
        <v>1463</v>
      </c>
      <c r="B27" s="7">
        <f>COUNTIFS(Sheet1!C:C,Sheet2!A27)</f>
        <v>1</v>
      </c>
    </row>
    <row r="28" spans="1:2" x14ac:dyDescent="0.25">
      <c r="A28" s="7" t="s">
        <v>1489</v>
      </c>
      <c r="B28" s="7">
        <f>COUNTIFS(Sheet1!C:C,Sheet2!A28)</f>
        <v>1</v>
      </c>
    </row>
    <row r="29" spans="1:2" x14ac:dyDescent="0.25">
      <c r="A29" s="7" t="s">
        <v>3643</v>
      </c>
      <c r="B29" s="7">
        <f>COUNTIFS(Sheet1!C:C,Sheet2!A29)</f>
        <v>1</v>
      </c>
    </row>
    <row r="30" spans="1:2" x14ac:dyDescent="0.25">
      <c r="A30" s="7" t="s">
        <v>292</v>
      </c>
      <c r="B30" s="7">
        <f>COUNTIFS(Sheet1!C:C,Sheet2!A30)</f>
        <v>1</v>
      </c>
    </row>
    <row r="31" spans="1:2" x14ac:dyDescent="0.25">
      <c r="A31" s="7" t="s">
        <v>511</v>
      </c>
      <c r="B31" s="7">
        <f>COUNTIFS(Sheet1!C:C,Sheet2!A31)</f>
        <v>2</v>
      </c>
    </row>
    <row r="32" spans="1:2" x14ac:dyDescent="0.25">
      <c r="A32" s="7" t="s">
        <v>4038</v>
      </c>
      <c r="B32" s="7">
        <f>COUNTIFS(Sheet1!C:C,Sheet2!A32)</f>
        <v>1</v>
      </c>
    </row>
    <row r="33" spans="1:2" x14ac:dyDescent="0.25">
      <c r="A33" s="7" t="s">
        <v>2678</v>
      </c>
      <c r="B33" s="7">
        <f>COUNTIFS(Sheet1!C:C,Sheet2!A33)</f>
        <v>1</v>
      </c>
    </row>
    <row r="34" spans="1:2" x14ac:dyDescent="0.25">
      <c r="A34" s="7" t="s">
        <v>2177</v>
      </c>
      <c r="B34" s="7">
        <f>COUNTIFS(Sheet1!C:C,Sheet2!A34)</f>
        <v>1</v>
      </c>
    </row>
    <row r="35" spans="1:2" x14ac:dyDescent="0.25">
      <c r="A35" s="7" t="s">
        <v>1898</v>
      </c>
      <c r="B35" s="7">
        <f>COUNTIFS(Sheet1!C:C,Sheet2!A35)</f>
        <v>1</v>
      </c>
    </row>
    <row r="36" spans="1:2" x14ac:dyDescent="0.25">
      <c r="A36" s="7" t="s">
        <v>658</v>
      </c>
      <c r="B36" s="7">
        <f>COUNTIFS(Sheet1!C:C,Sheet2!A36)</f>
        <v>1</v>
      </c>
    </row>
    <row r="37" spans="1:2" x14ac:dyDescent="0.25">
      <c r="A37" s="7" t="s">
        <v>1721</v>
      </c>
      <c r="B37" s="7">
        <f>COUNTIFS(Sheet1!C:C,Sheet2!A37)</f>
        <v>1</v>
      </c>
    </row>
    <row r="38" spans="1:2" x14ac:dyDescent="0.25">
      <c r="A38" s="7" t="s">
        <v>637</v>
      </c>
      <c r="B38" s="7">
        <f>COUNTIFS(Sheet1!C:C,Sheet2!A38)</f>
        <v>1</v>
      </c>
    </row>
    <row r="39" spans="1:2" x14ac:dyDescent="0.25">
      <c r="A39" s="7" t="s">
        <v>2328</v>
      </c>
      <c r="B39" s="7">
        <f>COUNTIFS(Sheet1!C:C,Sheet2!A39)</f>
        <v>1</v>
      </c>
    </row>
    <row r="40" spans="1:2" x14ac:dyDescent="0.25">
      <c r="A40" s="7" t="s">
        <v>747</v>
      </c>
      <c r="B40" s="7">
        <f>COUNTIFS(Sheet1!C:C,Sheet2!A40)</f>
        <v>1</v>
      </c>
    </row>
    <row r="41" spans="1:2" x14ac:dyDescent="0.25">
      <c r="A41" s="7" t="s">
        <v>728</v>
      </c>
      <c r="B41" s="7">
        <f>COUNTIFS(Sheet1!C:C,Sheet2!A41)</f>
        <v>1</v>
      </c>
    </row>
    <row r="42" spans="1:2" x14ac:dyDescent="0.25">
      <c r="A42" s="7" t="s">
        <v>4232</v>
      </c>
      <c r="B42" s="7">
        <f>COUNTIFS(Sheet1!C:C,Sheet2!A42)</f>
        <v>1</v>
      </c>
    </row>
    <row r="43" spans="1:2" x14ac:dyDescent="0.25">
      <c r="A43" s="7" t="s">
        <v>1561</v>
      </c>
      <c r="B43" s="7">
        <f>COUNTIFS(Sheet1!C:C,Sheet2!A43)</f>
        <v>1</v>
      </c>
    </row>
    <row r="44" spans="1:2" x14ac:dyDescent="0.25">
      <c r="A44" s="7" t="s">
        <v>307</v>
      </c>
      <c r="B44" s="7">
        <f>COUNTIFS(Sheet1!C:C,Sheet2!A44)</f>
        <v>1</v>
      </c>
    </row>
    <row r="45" spans="1:2" x14ac:dyDescent="0.25">
      <c r="A45" s="7" t="s">
        <v>811</v>
      </c>
      <c r="B45" s="7">
        <f>COUNTIFS(Sheet1!C:C,Sheet2!A45)</f>
        <v>1</v>
      </c>
    </row>
    <row r="46" spans="1:2" x14ac:dyDescent="0.25">
      <c r="A46" s="7" t="s">
        <v>4114</v>
      </c>
      <c r="B46" s="7">
        <f>COUNTIFS(Sheet1!C:C,Sheet2!A46)</f>
        <v>1</v>
      </c>
    </row>
    <row r="47" spans="1:2" x14ac:dyDescent="0.25">
      <c r="A47" s="7" t="s">
        <v>3348</v>
      </c>
      <c r="B47" s="7">
        <f>COUNTIFS(Sheet1!C:C,Sheet2!A47)</f>
        <v>1</v>
      </c>
    </row>
    <row r="48" spans="1:2" x14ac:dyDescent="0.25">
      <c r="A48" s="7" t="s">
        <v>2210</v>
      </c>
      <c r="B48" s="7">
        <f>COUNTIFS(Sheet1!C:C,Sheet2!A48)</f>
        <v>1</v>
      </c>
    </row>
    <row r="49" spans="1:2" x14ac:dyDescent="0.25">
      <c r="A49" s="7" t="s">
        <v>102</v>
      </c>
      <c r="B49" s="7">
        <f>COUNTIFS(Sheet1!C:C,Sheet2!A49)</f>
        <v>2</v>
      </c>
    </row>
    <row r="50" spans="1:2" x14ac:dyDescent="0.25">
      <c r="A50" s="7" t="s">
        <v>3412</v>
      </c>
      <c r="B50" s="7">
        <f>COUNTIFS(Sheet1!C:C,Sheet2!A50)</f>
        <v>1</v>
      </c>
    </row>
    <row r="51" spans="1:2" x14ac:dyDescent="0.25">
      <c r="A51" s="7" t="s">
        <v>440</v>
      </c>
      <c r="B51" s="7">
        <f>COUNTIFS(Sheet1!C:C,Sheet2!A51)</f>
        <v>10</v>
      </c>
    </row>
    <row r="52" spans="1:2" x14ac:dyDescent="0.25">
      <c r="A52" s="7" t="s">
        <v>1933</v>
      </c>
      <c r="B52" s="7">
        <f>COUNTIFS(Sheet1!C:C,Sheet2!A52)</f>
        <v>1</v>
      </c>
    </row>
    <row r="53" spans="1:2" x14ac:dyDescent="0.25">
      <c r="A53" s="7" t="s">
        <v>524</v>
      </c>
      <c r="B53" s="7">
        <f>COUNTIFS(Sheet1!C:C,Sheet2!A53)</f>
        <v>1</v>
      </c>
    </row>
    <row r="54" spans="1:2" x14ac:dyDescent="0.25">
      <c r="A54" s="7" t="s">
        <v>1099</v>
      </c>
      <c r="B54" s="7">
        <f>COUNTIFS(Sheet1!C:C,Sheet2!A54)</f>
        <v>1</v>
      </c>
    </row>
    <row r="55" spans="1:2" x14ac:dyDescent="0.25">
      <c r="A55" s="7" t="s">
        <v>3360</v>
      </c>
      <c r="B55" s="7">
        <f>COUNTIFS(Sheet1!C:C,Sheet2!A55)</f>
        <v>1</v>
      </c>
    </row>
    <row r="56" spans="1:2" x14ac:dyDescent="0.25">
      <c r="A56" s="7" t="s">
        <v>1827</v>
      </c>
      <c r="B56" s="7">
        <f>COUNTIFS(Sheet1!C:C,Sheet2!A56)</f>
        <v>2</v>
      </c>
    </row>
    <row r="57" spans="1:2" x14ac:dyDescent="0.25">
      <c r="A57" s="7" t="s">
        <v>1929</v>
      </c>
      <c r="B57" s="7">
        <f>COUNTIFS(Sheet1!C:C,Sheet2!A57)</f>
        <v>2</v>
      </c>
    </row>
    <row r="58" spans="1:2" x14ac:dyDescent="0.25">
      <c r="A58" s="7" t="s">
        <v>2082</v>
      </c>
      <c r="B58" s="7">
        <f>COUNTIFS(Sheet1!C:C,Sheet2!A58)</f>
        <v>1</v>
      </c>
    </row>
    <row r="59" spans="1:2" x14ac:dyDescent="0.25">
      <c r="A59" s="7" t="s">
        <v>1361</v>
      </c>
      <c r="B59" s="7">
        <f>COUNTIFS(Sheet1!C:C,Sheet2!A59)</f>
        <v>1</v>
      </c>
    </row>
    <row r="60" spans="1:2" x14ac:dyDescent="0.25">
      <c r="A60" s="7" t="s">
        <v>1677</v>
      </c>
      <c r="B60" s="7">
        <f>COUNTIFS(Sheet1!C:C,Sheet2!A60)</f>
        <v>2</v>
      </c>
    </row>
    <row r="61" spans="1:2" x14ac:dyDescent="0.25">
      <c r="A61" s="7" t="s">
        <v>915</v>
      </c>
      <c r="B61" s="7">
        <f>COUNTIFS(Sheet1!C:C,Sheet2!A61)</f>
        <v>2</v>
      </c>
    </row>
    <row r="62" spans="1:2" x14ac:dyDescent="0.25">
      <c r="A62" s="7" t="s">
        <v>900</v>
      </c>
      <c r="B62" s="7">
        <f>COUNTIFS(Sheet1!C:C,Sheet2!A62)</f>
        <v>1</v>
      </c>
    </row>
    <row r="63" spans="1:2" x14ac:dyDescent="0.25">
      <c r="A63" s="7" t="s">
        <v>3386</v>
      </c>
      <c r="B63" s="7">
        <f>COUNTIFS(Sheet1!C:C,Sheet2!A63)</f>
        <v>1</v>
      </c>
    </row>
    <row r="64" spans="1:2" x14ac:dyDescent="0.25">
      <c r="A64" s="7" t="s">
        <v>2438</v>
      </c>
      <c r="B64" s="7">
        <f>COUNTIFS(Sheet1!C:C,Sheet2!A64)</f>
        <v>1</v>
      </c>
    </row>
    <row r="65" spans="1:2" x14ac:dyDescent="0.25">
      <c r="A65" s="7" t="s">
        <v>736</v>
      </c>
      <c r="B65" s="7">
        <f>COUNTIFS(Sheet1!C:C,Sheet2!A65)</f>
        <v>4</v>
      </c>
    </row>
    <row r="66" spans="1:2" x14ac:dyDescent="0.25">
      <c r="A66" s="7" t="s">
        <v>2987</v>
      </c>
      <c r="B66" s="7">
        <f>COUNTIFS(Sheet1!C:C,Sheet2!A66)</f>
        <v>1</v>
      </c>
    </row>
    <row r="67" spans="1:2" x14ac:dyDescent="0.25">
      <c r="A67" s="7" t="s">
        <v>136</v>
      </c>
      <c r="B67" s="7">
        <f>COUNTIFS(Sheet1!C:C,Sheet2!A67)</f>
        <v>1</v>
      </c>
    </row>
    <row r="68" spans="1:2" x14ac:dyDescent="0.25">
      <c r="A68" s="7" t="s">
        <v>422</v>
      </c>
      <c r="B68" s="7">
        <f>COUNTIFS(Sheet1!C:C,Sheet2!A68)</f>
        <v>1</v>
      </c>
    </row>
    <row r="69" spans="1:2" x14ac:dyDescent="0.25">
      <c r="A69" s="7" t="s">
        <v>1321</v>
      </c>
      <c r="B69" s="7">
        <f>COUNTIFS(Sheet1!C:C,Sheet2!A69)</f>
        <v>1</v>
      </c>
    </row>
    <row r="70" spans="1:2" x14ac:dyDescent="0.25">
      <c r="A70" s="7" t="s">
        <v>3757</v>
      </c>
      <c r="B70" s="7">
        <f>COUNTIFS(Sheet1!C:C,Sheet2!A70)</f>
        <v>1</v>
      </c>
    </row>
    <row r="71" spans="1:2" x14ac:dyDescent="0.25">
      <c r="A71" s="7" t="s">
        <v>410</v>
      </c>
      <c r="B71" s="7">
        <f>COUNTIFS(Sheet1!C:C,Sheet2!A71)</f>
        <v>3</v>
      </c>
    </row>
    <row r="72" spans="1:2" x14ac:dyDescent="0.25">
      <c r="A72" s="7" t="s">
        <v>986</v>
      </c>
      <c r="B72" s="7">
        <f>COUNTIFS(Sheet1!C:C,Sheet2!A72)</f>
        <v>1</v>
      </c>
    </row>
    <row r="73" spans="1:2" x14ac:dyDescent="0.25">
      <c r="A73" s="7" t="s">
        <v>975</v>
      </c>
      <c r="B73" s="7">
        <f>COUNTIFS(Sheet1!C:C,Sheet2!A73)</f>
        <v>1</v>
      </c>
    </row>
    <row r="74" spans="1:2" x14ac:dyDescent="0.25">
      <c r="A74" s="7" t="s">
        <v>1001</v>
      </c>
      <c r="B74" s="7">
        <f>COUNTIFS(Sheet1!C:C,Sheet2!A74)</f>
        <v>1</v>
      </c>
    </row>
    <row r="75" spans="1:2" x14ac:dyDescent="0.25">
      <c r="A75" s="7" t="s">
        <v>2278</v>
      </c>
      <c r="B75" s="7">
        <f>COUNTIFS(Sheet1!C:C,Sheet2!A75)</f>
        <v>1</v>
      </c>
    </row>
    <row r="76" spans="1:2" x14ac:dyDescent="0.25">
      <c r="A76" s="7" t="s">
        <v>1838</v>
      </c>
      <c r="B76" s="7">
        <f>COUNTIFS(Sheet1!C:C,Sheet2!A76)</f>
        <v>1</v>
      </c>
    </row>
    <row r="77" spans="1:2" x14ac:dyDescent="0.25">
      <c r="A77" s="7" t="s">
        <v>1386</v>
      </c>
      <c r="B77" s="7">
        <f>COUNTIFS(Sheet1!C:C,Sheet2!A77)</f>
        <v>1</v>
      </c>
    </row>
    <row r="78" spans="1:2" x14ac:dyDescent="0.25">
      <c r="A78" s="7" t="s">
        <v>2920</v>
      </c>
      <c r="B78" s="7">
        <f>COUNTIFS(Sheet1!C:C,Sheet2!A78)</f>
        <v>1</v>
      </c>
    </row>
    <row r="79" spans="1:2" x14ac:dyDescent="0.25">
      <c r="A79" s="7" t="s">
        <v>2435</v>
      </c>
      <c r="B79" s="7">
        <f>COUNTIFS(Sheet1!C:C,Sheet2!A79)</f>
        <v>1</v>
      </c>
    </row>
    <row r="80" spans="1:2" x14ac:dyDescent="0.25">
      <c r="A80" s="7" t="s">
        <v>1339</v>
      </c>
      <c r="B80" s="7">
        <f>COUNTIFS(Sheet1!C:C,Sheet2!A80)</f>
        <v>2</v>
      </c>
    </row>
    <row r="81" spans="1:2" x14ac:dyDescent="0.25">
      <c r="A81" s="7" t="s">
        <v>3760</v>
      </c>
      <c r="B81" s="7">
        <f>COUNTIFS(Sheet1!C:C,Sheet2!A81)</f>
        <v>1</v>
      </c>
    </row>
    <row r="82" spans="1:2" x14ac:dyDescent="0.25">
      <c r="A82" s="7" t="s">
        <v>743</v>
      </c>
      <c r="B82" s="7">
        <f>COUNTIFS(Sheet1!C:C,Sheet2!A82)</f>
        <v>1</v>
      </c>
    </row>
    <row r="83" spans="1:2" x14ac:dyDescent="0.25">
      <c r="A83" s="7" t="s">
        <v>2025</v>
      </c>
      <c r="B83" s="7">
        <f>COUNTIFS(Sheet1!C:C,Sheet2!A83)</f>
        <v>1</v>
      </c>
    </row>
    <row r="84" spans="1:2" x14ac:dyDescent="0.25">
      <c r="A84" s="7" t="s">
        <v>2652</v>
      </c>
      <c r="B84" s="7">
        <f>COUNTIFS(Sheet1!C:C,Sheet2!A84)</f>
        <v>1</v>
      </c>
    </row>
    <row r="85" spans="1:2" x14ac:dyDescent="0.25">
      <c r="A85" s="7" t="s">
        <v>2188</v>
      </c>
      <c r="B85" s="7">
        <f>COUNTIFS(Sheet1!C:C,Sheet2!A85)</f>
        <v>1</v>
      </c>
    </row>
    <row r="86" spans="1:2" x14ac:dyDescent="0.25">
      <c r="A86" s="7" t="s">
        <v>167</v>
      </c>
      <c r="B86" s="7">
        <f>COUNTIFS(Sheet1!C:C,Sheet2!A86)</f>
        <v>2</v>
      </c>
    </row>
    <row r="87" spans="1:2" x14ac:dyDescent="0.25">
      <c r="A87" s="7" t="s">
        <v>3638</v>
      </c>
      <c r="B87" s="7">
        <f>COUNTIFS(Sheet1!C:C,Sheet2!A87)</f>
        <v>1</v>
      </c>
    </row>
    <row r="88" spans="1:2" x14ac:dyDescent="0.25">
      <c r="A88" s="7" t="s">
        <v>1637</v>
      </c>
      <c r="B88" s="7">
        <f>COUNTIFS(Sheet1!C:C,Sheet2!A88)</f>
        <v>3</v>
      </c>
    </row>
    <row r="89" spans="1:2" x14ac:dyDescent="0.25">
      <c r="A89" s="7" t="s">
        <v>2287</v>
      </c>
      <c r="B89" s="7">
        <f>COUNTIFS(Sheet1!C:C,Sheet2!A89)</f>
        <v>1</v>
      </c>
    </row>
    <row r="90" spans="1:2" x14ac:dyDescent="0.25">
      <c r="A90" s="7" t="s">
        <v>4331</v>
      </c>
      <c r="B90" s="7">
        <f>COUNTIFS(Sheet1!C:C,Sheet2!A90)</f>
        <v>1</v>
      </c>
    </row>
    <row r="91" spans="1:2" x14ac:dyDescent="0.25">
      <c r="A91" s="7" t="s">
        <v>3522</v>
      </c>
      <c r="B91" s="7">
        <f>COUNTIFS(Sheet1!C:C,Sheet2!A91)</f>
        <v>1</v>
      </c>
    </row>
    <row r="92" spans="1:2" x14ac:dyDescent="0.25">
      <c r="A92" s="7" t="s">
        <v>990</v>
      </c>
      <c r="B92" s="7">
        <f>COUNTIFS(Sheet1!C:C,Sheet2!A92)</f>
        <v>1</v>
      </c>
    </row>
    <row r="93" spans="1:2" x14ac:dyDescent="0.25">
      <c r="A93" s="7" t="s">
        <v>3079</v>
      </c>
      <c r="B93" s="7">
        <f>COUNTIFS(Sheet1!C:C,Sheet2!A93)</f>
        <v>1</v>
      </c>
    </row>
    <row r="94" spans="1:2" x14ac:dyDescent="0.25">
      <c r="A94" s="7" t="s">
        <v>7</v>
      </c>
      <c r="B94" s="7">
        <f>COUNTIFS(Sheet1!C:C,Sheet2!A94)</f>
        <v>1</v>
      </c>
    </row>
    <row r="95" spans="1:2" x14ac:dyDescent="0.25">
      <c r="A95" s="7" t="s">
        <v>1704</v>
      </c>
      <c r="B95" s="7">
        <f>COUNTIFS(Sheet1!C:C,Sheet2!A95)</f>
        <v>2</v>
      </c>
    </row>
    <row r="96" spans="1:2" x14ac:dyDescent="0.25">
      <c r="A96" s="7" t="s">
        <v>2684</v>
      </c>
      <c r="B96" s="7">
        <f>COUNTIFS(Sheet1!C:C,Sheet2!A96)</f>
        <v>1</v>
      </c>
    </row>
    <row r="97" spans="1:2" x14ac:dyDescent="0.25">
      <c r="A97" s="7" t="s">
        <v>3813</v>
      </c>
      <c r="B97" s="7">
        <f>COUNTIFS(Sheet1!C:C,Sheet2!A97)</f>
        <v>1</v>
      </c>
    </row>
    <row r="98" spans="1:2" x14ac:dyDescent="0.25">
      <c r="A98" s="7" t="s">
        <v>3062</v>
      </c>
      <c r="B98" s="7">
        <f>COUNTIFS(Sheet1!C:C,Sheet2!A98)</f>
        <v>1</v>
      </c>
    </row>
    <row r="99" spans="1:2" x14ac:dyDescent="0.25">
      <c r="A99" s="7" t="s">
        <v>372</v>
      </c>
      <c r="B99" s="7">
        <f>COUNTIFS(Sheet1!C:C,Sheet2!A99)</f>
        <v>1</v>
      </c>
    </row>
    <row r="100" spans="1:2" x14ac:dyDescent="0.25">
      <c r="A100" s="7" t="s">
        <v>4335</v>
      </c>
      <c r="B100" s="7">
        <f>COUNTIFS(Sheet1!C:C,Sheet2!A100)</f>
        <v>1</v>
      </c>
    </row>
    <row r="101" spans="1:2" x14ac:dyDescent="0.25">
      <c r="A101" s="7" t="s">
        <v>982</v>
      </c>
      <c r="B101" s="7">
        <f>COUNTIFS(Sheet1!C:C,Sheet2!A101)</f>
        <v>1</v>
      </c>
    </row>
    <row r="102" spans="1:2" x14ac:dyDescent="0.25">
      <c r="A102" s="7" t="s">
        <v>945</v>
      </c>
      <c r="B102" s="7">
        <f>COUNTIFS(Sheet1!C:C,Sheet2!A102)</f>
        <v>1</v>
      </c>
    </row>
    <row r="103" spans="1:2" x14ac:dyDescent="0.25">
      <c r="A103" s="7" t="s">
        <v>3036</v>
      </c>
      <c r="B103" s="7">
        <f>COUNTIFS(Sheet1!C:C,Sheet2!A103)</f>
        <v>1</v>
      </c>
    </row>
    <row r="104" spans="1:2" x14ac:dyDescent="0.25">
      <c r="A104" s="7" t="s">
        <v>360</v>
      </c>
      <c r="B104" s="7">
        <f>COUNTIFS(Sheet1!C:C,Sheet2!A104)</f>
        <v>1</v>
      </c>
    </row>
    <row r="105" spans="1:2" x14ac:dyDescent="0.25">
      <c r="A105" s="7" t="s">
        <v>2150</v>
      </c>
      <c r="B105" s="7">
        <f>COUNTIFS(Sheet1!C:C,Sheet2!A105)</f>
        <v>1</v>
      </c>
    </row>
    <row r="106" spans="1:2" x14ac:dyDescent="0.25">
      <c r="A106" s="7" t="s">
        <v>2876</v>
      </c>
      <c r="B106" s="7">
        <f>COUNTIFS(Sheet1!C:C,Sheet2!A106)</f>
        <v>1</v>
      </c>
    </row>
    <row r="107" spans="1:2" x14ac:dyDescent="0.25">
      <c r="A107" s="7" t="s">
        <v>23</v>
      </c>
      <c r="B107" s="7">
        <f>COUNTIFS(Sheet1!C:C,Sheet2!A107)</f>
        <v>14</v>
      </c>
    </row>
    <row r="108" spans="1:2" x14ac:dyDescent="0.25">
      <c r="A108" s="7" t="s">
        <v>418</v>
      </c>
      <c r="B108" s="7">
        <f>COUNTIFS(Sheet1!C:C,Sheet2!A108)</f>
        <v>1</v>
      </c>
    </row>
    <row r="109" spans="1:2" x14ac:dyDescent="0.25">
      <c r="A109" s="7" t="s">
        <v>1241</v>
      </c>
      <c r="B109" s="7">
        <f>COUNTIFS(Sheet1!C:C,Sheet2!A109)</f>
        <v>1</v>
      </c>
    </row>
    <row r="110" spans="1:2" x14ac:dyDescent="0.25">
      <c r="A110" s="7" t="s">
        <v>2166</v>
      </c>
      <c r="B110" s="7">
        <f>COUNTIFS(Sheet1!C:C,Sheet2!A110)</f>
        <v>1</v>
      </c>
    </row>
    <row r="111" spans="1:2" x14ac:dyDescent="0.25">
      <c r="A111" s="7" t="s">
        <v>1437</v>
      </c>
      <c r="B111" s="7">
        <f>COUNTIFS(Sheet1!C:C,Sheet2!A111)</f>
        <v>1</v>
      </c>
    </row>
    <row r="112" spans="1:2" x14ac:dyDescent="0.25">
      <c r="A112" s="7" t="s">
        <v>3582</v>
      </c>
      <c r="B112" s="7">
        <f>COUNTIFS(Sheet1!C:C,Sheet2!A112)</f>
        <v>1</v>
      </c>
    </row>
    <row r="113" spans="1:2" x14ac:dyDescent="0.25">
      <c r="A113" s="7" t="s">
        <v>3169</v>
      </c>
      <c r="B113" s="7">
        <f>COUNTIFS(Sheet1!C:C,Sheet2!A113)</f>
        <v>1</v>
      </c>
    </row>
    <row r="114" spans="1:2" x14ac:dyDescent="0.25">
      <c r="A114" s="7" t="s">
        <v>286</v>
      </c>
      <c r="B114" s="7">
        <f>COUNTIFS(Sheet1!C:C,Sheet2!A114)</f>
        <v>1</v>
      </c>
    </row>
    <row r="115" spans="1:2" x14ac:dyDescent="0.25">
      <c r="A115" s="7" t="s">
        <v>1364</v>
      </c>
      <c r="B115" s="7">
        <f>COUNTIFS(Sheet1!C:C,Sheet2!A115)</f>
        <v>1</v>
      </c>
    </row>
    <row r="116" spans="1:2" x14ac:dyDescent="0.25">
      <c r="A116" s="7" t="s">
        <v>1163</v>
      </c>
      <c r="B116" s="7">
        <f>COUNTIFS(Sheet1!C:C,Sheet2!A116)</f>
        <v>1</v>
      </c>
    </row>
    <row r="117" spans="1:2" x14ac:dyDescent="0.25">
      <c r="A117" s="7" t="s">
        <v>2000</v>
      </c>
      <c r="B117" s="7">
        <f>COUNTIFS(Sheet1!C:C,Sheet2!A117)</f>
        <v>1</v>
      </c>
    </row>
    <row r="118" spans="1:2" x14ac:dyDescent="0.25">
      <c r="A118" s="7" t="s">
        <v>3542</v>
      </c>
      <c r="B118" s="7">
        <f>COUNTIFS(Sheet1!C:C,Sheet2!A118)</f>
        <v>1</v>
      </c>
    </row>
    <row r="119" spans="1:2" x14ac:dyDescent="0.25">
      <c r="A119" s="7" t="s">
        <v>2405</v>
      </c>
      <c r="B119" s="7">
        <f>COUNTIFS(Sheet1!C:C,Sheet2!A119)</f>
        <v>1</v>
      </c>
    </row>
    <row r="120" spans="1:2" x14ac:dyDescent="0.25">
      <c r="A120" s="7" t="s">
        <v>1595</v>
      </c>
      <c r="B120" s="7">
        <f>COUNTIFS(Sheet1!C:C,Sheet2!A120)</f>
        <v>1</v>
      </c>
    </row>
    <row r="121" spans="1:2" x14ac:dyDescent="0.25">
      <c r="A121" s="7" t="s">
        <v>4026</v>
      </c>
      <c r="B121" s="7">
        <f>COUNTIFS(Sheet1!C:C,Sheet2!A121)</f>
        <v>1</v>
      </c>
    </row>
    <row r="122" spans="1:2" x14ac:dyDescent="0.25">
      <c r="A122" s="7" t="s">
        <v>4212</v>
      </c>
      <c r="B122" s="7">
        <f>COUNTIFS(Sheet1!C:C,Sheet2!A122)</f>
        <v>1</v>
      </c>
    </row>
    <row r="123" spans="1:2" x14ac:dyDescent="0.25">
      <c r="A123" s="7" t="s">
        <v>551</v>
      </c>
      <c r="B123" s="7">
        <f>COUNTIFS(Sheet1!C:C,Sheet2!A123)</f>
        <v>1</v>
      </c>
    </row>
    <row r="124" spans="1:2" x14ac:dyDescent="0.25">
      <c r="A124" s="7" t="s">
        <v>1173</v>
      </c>
      <c r="B124" s="7">
        <f>COUNTIFS(Sheet1!C:C,Sheet2!A124)</f>
        <v>1</v>
      </c>
    </row>
    <row r="125" spans="1:2" x14ac:dyDescent="0.25">
      <c r="A125" s="7" t="s">
        <v>255</v>
      </c>
      <c r="B125" s="7">
        <f>COUNTIFS(Sheet1!C:C,Sheet2!A125)</f>
        <v>1</v>
      </c>
    </row>
    <row r="126" spans="1:2" x14ac:dyDescent="0.25">
      <c r="A126" s="7" t="s">
        <v>3831</v>
      </c>
      <c r="B126" s="7">
        <f>COUNTIFS(Sheet1!C:C,Sheet2!A126)</f>
        <v>1</v>
      </c>
    </row>
    <row r="127" spans="1:2" x14ac:dyDescent="0.25">
      <c r="A127" s="7" t="s">
        <v>127</v>
      </c>
      <c r="B127" s="7">
        <f>COUNTIFS(Sheet1!C:C,Sheet2!A127)</f>
        <v>1</v>
      </c>
    </row>
    <row r="128" spans="1:2" x14ac:dyDescent="0.25">
      <c r="A128" s="7" t="s">
        <v>331</v>
      </c>
      <c r="B128" s="7">
        <f>COUNTIFS(Sheet1!C:C,Sheet2!A128)</f>
        <v>1</v>
      </c>
    </row>
    <row r="129" spans="1:2" x14ac:dyDescent="0.25">
      <c r="A129" s="7" t="s">
        <v>445</v>
      </c>
      <c r="B129" s="7">
        <f>COUNTIFS(Sheet1!C:C,Sheet2!A129)</f>
        <v>1</v>
      </c>
    </row>
    <row r="130" spans="1:2" x14ac:dyDescent="0.25">
      <c r="A130" s="7" t="s">
        <v>38</v>
      </c>
      <c r="B130" s="7">
        <f>COUNTIFS(Sheet1!C:C,Sheet2!A130)</f>
        <v>6</v>
      </c>
    </row>
    <row r="131" spans="1:2" x14ac:dyDescent="0.25">
      <c r="A131" s="7" t="s">
        <v>1096</v>
      </c>
      <c r="B131" s="7">
        <f>COUNTIFS(Sheet1!C:C,Sheet2!A131)</f>
        <v>1</v>
      </c>
    </row>
    <row r="132" spans="1:2" x14ac:dyDescent="0.25">
      <c r="A132" s="7" t="s">
        <v>3157</v>
      </c>
      <c r="B132" s="7">
        <f>COUNTIFS(Sheet1!C:C,Sheet2!A132)</f>
        <v>1</v>
      </c>
    </row>
    <row r="133" spans="1:2" x14ac:dyDescent="0.25">
      <c r="A133" s="7" t="s">
        <v>1790</v>
      </c>
      <c r="B133" s="7">
        <f>COUNTIFS(Sheet1!C:C,Sheet2!A133)</f>
        <v>1</v>
      </c>
    </row>
    <row r="134" spans="1:2" x14ac:dyDescent="0.25">
      <c r="A134" s="7" t="s">
        <v>2047</v>
      </c>
      <c r="B134" s="7">
        <f>COUNTIFS(Sheet1!C:C,Sheet2!A134)</f>
        <v>1</v>
      </c>
    </row>
    <row r="135" spans="1:2" x14ac:dyDescent="0.25">
      <c r="A135" s="7" t="s">
        <v>296</v>
      </c>
      <c r="B135" s="7">
        <f>COUNTIFS(Sheet1!C:C,Sheet2!A135)</f>
        <v>2</v>
      </c>
    </row>
    <row r="136" spans="1:2" x14ac:dyDescent="0.25">
      <c r="A136" s="7" t="s">
        <v>2339</v>
      </c>
      <c r="B136" s="7">
        <f>COUNTIFS(Sheet1!C:C,Sheet2!A136)</f>
        <v>1</v>
      </c>
    </row>
    <row r="137" spans="1:2" x14ac:dyDescent="0.25">
      <c r="A137" s="7" t="s">
        <v>3572</v>
      </c>
      <c r="B137" s="7">
        <f>COUNTIFS(Sheet1!C:C,Sheet2!A137)</f>
        <v>1</v>
      </c>
    </row>
    <row r="138" spans="1:2" x14ac:dyDescent="0.25">
      <c r="A138" s="7" t="s">
        <v>701</v>
      </c>
      <c r="B138" s="7">
        <f>COUNTIFS(Sheet1!C:C,Sheet2!A138)</f>
        <v>1</v>
      </c>
    </row>
    <row r="139" spans="1:2" x14ac:dyDescent="0.25">
      <c r="A139" s="7" t="s">
        <v>884</v>
      </c>
      <c r="B139" s="7">
        <f>COUNTIFS(Sheet1!C:C,Sheet2!A139)</f>
        <v>2</v>
      </c>
    </row>
    <row r="140" spans="1:2" x14ac:dyDescent="0.25">
      <c r="A140" s="7" t="s">
        <v>1333</v>
      </c>
      <c r="B140" s="7">
        <f>COUNTIFS(Sheet1!C:C,Sheet2!A140)</f>
        <v>1</v>
      </c>
    </row>
    <row r="141" spans="1:2" x14ac:dyDescent="0.25">
      <c r="A141" s="7" t="s">
        <v>3655</v>
      </c>
      <c r="B141" s="7">
        <f>COUNTIFS(Sheet1!C:C,Sheet2!A141)</f>
        <v>1</v>
      </c>
    </row>
    <row r="142" spans="1:2" x14ac:dyDescent="0.25">
      <c r="A142" s="7" t="s">
        <v>3431</v>
      </c>
      <c r="B142" s="7">
        <f>COUNTIFS(Sheet1!C:C,Sheet2!A142)</f>
        <v>1</v>
      </c>
    </row>
    <row r="143" spans="1:2" x14ac:dyDescent="0.25">
      <c r="A143" s="7" t="s">
        <v>2931</v>
      </c>
      <c r="B143" s="7">
        <f>COUNTIFS(Sheet1!C:C,Sheet2!A143)</f>
        <v>1</v>
      </c>
    </row>
    <row r="144" spans="1:2" x14ac:dyDescent="0.25">
      <c r="A144" s="7" t="s">
        <v>398</v>
      </c>
      <c r="B144" s="7">
        <f>COUNTIFS(Sheet1!C:C,Sheet2!A144)</f>
        <v>1</v>
      </c>
    </row>
    <row r="145" spans="1:2" x14ac:dyDescent="0.25">
      <c r="A145" s="7" t="s">
        <v>2605</v>
      </c>
      <c r="B145" s="7">
        <f>COUNTIFS(Sheet1!C:C,Sheet2!A145)</f>
        <v>1</v>
      </c>
    </row>
    <row r="146" spans="1:2" x14ac:dyDescent="0.25">
      <c r="A146" s="7" t="s">
        <v>3474</v>
      </c>
      <c r="B146" s="7">
        <f>COUNTIFS(Sheet1!C:C,Sheet2!A146)</f>
        <v>2</v>
      </c>
    </row>
    <row r="147" spans="1:2" x14ac:dyDescent="0.25">
      <c r="A147" s="7" t="s">
        <v>1371</v>
      </c>
      <c r="B147" s="7">
        <f>COUNTIFS(Sheet1!C:C,Sheet2!A147)</f>
        <v>1</v>
      </c>
    </row>
    <row r="148" spans="1:2" x14ac:dyDescent="0.25">
      <c r="A148" s="7" t="s">
        <v>2993</v>
      </c>
      <c r="B148" s="7">
        <f>COUNTIFS(Sheet1!C:C,Sheet2!A148)</f>
        <v>1</v>
      </c>
    </row>
    <row r="149" spans="1:2" x14ac:dyDescent="0.25">
      <c r="A149" s="7" t="s">
        <v>1346</v>
      </c>
      <c r="B149" s="7">
        <f>COUNTIFS(Sheet1!C:C,Sheet2!A149)</f>
        <v>1</v>
      </c>
    </row>
    <row r="150" spans="1:2" x14ac:dyDescent="0.25">
      <c r="A150" s="7" t="s">
        <v>2848</v>
      </c>
      <c r="B150" s="7">
        <f>COUNTIFS(Sheet1!C:C,Sheet2!A150)</f>
        <v>1</v>
      </c>
    </row>
    <row r="151" spans="1:2" x14ac:dyDescent="0.25">
      <c r="A151" s="7" t="s">
        <v>2156</v>
      </c>
      <c r="B151" s="7">
        <f>COUNTIFS(Sheet1!C:C,Sheet2!A151)</f>
        <v>1</v>
      </c>
    </row>
    <row r="152" spans="1:2" x14ac:dyDescent="0.25">
      <c r="A152" s="7" t="s">
        <v>965</v>
      </c>
      <c r="B152" s="7">
        <f>COUNTIFS(Sheet1!C:C,Sheet2!A152)</f>
        <v>3</v>
      </c>
    </row>
    <row r="153" spans="1:2" x14ac:dyDescent="0.25">
      <c r="A153" s="7" t="s">
        <v>2065</v>
      </c>
      <c r="B153" s="7">
        <f>COUNTIFS(Sheet1!C:C,Sheet2!A153)</f>
        <v>1</v>
      </c>
    </row>
    <row r="154" spans="1:2" x14ac:dyDescent="0.25">
      <c r="A154" s="7" t="s">
        <v>2885</v>
      </c>
      <c r="B154" s="7">
        <f>COUNTIFS(Sheet1!C:C,Sheet2!A154)</f>
        <v>1</v>
      </c>
    </row>
    <row r="155" spans="1:2" x14ac:dyDescent="0.25">
      <c r="A155" s="7" t="s">
        <v>3012</v>
      </c>
      <c r="B155" s="7">
        <f>COUNTIFS(Sheet1!C:C,Sheet2!A155)</f>
        <v>1</v>
      </c>
    </row>
    <row r="156" spans="1:2" x14ac:dyDescent="0.25">
      <c r="A156" s="7" t="s">
        <v>1140</v>
      </c>
      <c r="B156" s="7">
        <f>COUNTIFS(Sheet1!C:C,Sheet2!A156)</f>
        <v>1</v>
      </c>
    </row>
    <row r="157" spans="1:2" x14ac:dyDescent="0.25">
      <c r="A157" s="7" t="s">
        <v>1111</v>
      </c>
      <c r="B157" s="7">
        <f>COUNTIFS(Sheet1!C:C,Sheet2!A157)</f>
        <v>1</v>
      </c>
    </row>
    <row r="158" spans="1:2" x14ac:dyDescent="0.25">
      <c r="A158" s="7" t="s">
        <v>501</v>
      </c>
      <c r="B158" s="7">
        <f>COUNTIFS(Sheet1!C:C,Sheet2!A158)</f>
        <v>10</v>
      </c>
    </row>
    <row r="159" spans="1:2" x14ac:dyDescent="0.25">
      <c r="A159" s="7" t="s">
        <v>3420</v>
      </c>
      <c r="B159" s="7">
        <f>COUNTIFS(Sheet1!C:C,Sheet2!A159)</f>
        <v>1</v>
      </c>
    </row>
    <row r="160" spans="1:2" x14ac:dyDescent="0.25">
      <c r="A160" s="7" t="s">
        <v>3368</v>
      </c>
      <c r="B160" s="7">
        <f>COUNTIFS(Sheet1!C:C,Sheet2!A160)</f>
        <v>1</v>
      </c>
    </row>
    <row r="161" spans="1:2" x14ac:dyDescent="0.25">
      <c r="A161" s="7" t="s">
        <v>4079</v>
      </c>
      <c r="B161" s="7">
        <f>COUNTIFS(Sheet1!C:C,Sheet2!A161)</f>
        <v>1</v>
      </c>
    </row>
    <row r="162" spans="1:2" x14ac:dyDescent="0.25">
      <c r="A162" s="7" t="s">
        <v>3750</v>
      </c>
      <c r="B162" s="7">
        <f>COUNTIFS(Sheet1!C:C,Sheet2!A162)</f>
        <v>1</v>
      </c>
    </row>
    <row r="163" spans="1:2" x14ac:dyDescent="0.25">
      <c r="A163" s="7" t="s">
        <v>3328</v>
      </c>
      <c r="B163" s="7">
        <f>COUNTIFS(Sheet1!C:C,Sheet2!A163)</f>
        <v>1</v>
      </c>
    </row>
    <row r="164" spans="1:2" x14ac:dyDescent="0.25">
      <c r="A164" s="7" t="s">
        <v>1133</v>
      </c>
      <c r="B164" s="7">
        <f>COUNTIFS(Sheet1!C:C,Sheet2!A164)</f>
        <v>1</v>
      </c>
    </row>
    <row r="165" spans="1:2" x14ac:dyDescent="0.25">
      <c r="A165" s="7" t="s">
        <v>1654</v>
      </c>
      <c r="B165" s="7">
        <f>COUNTIFS(Sheet1!C:C,Sheet2!A165)</f>
        <v>1</v>
      </c>
    </row>
    <row r="166" spans="1:2" x14ac:dyDescent="0.25">
      <c r="A166" s="7" t="s">
        <v>3289</v>
      </c>
      <c r="B166" s="7">
        <f>COUNTIFS(Sheet1!C:C,Sheet2!A166)</f>
        <v>1</v>
      </c>
    </row>
    <row r="167" spans="1:2" x14ac:dyDescent="0.25">
      <c r="A167" s="7" t="s">
        <v>4295</v>
      </c>
      <c r="B167" s="7">
        <f>COUNTIFS(Sheet1!C:C,Sheet2!A167)</f>
        <v>1</v>
      </c>
    </row>
    <row r="168" spans="1:2" x14ac:dyDescent="0.25">
      <c r="A168" s="7" t="s">
        <v>1004</v>
      </c>
      <c r="B168" s="7">
        <f>COUNTIFS(Sheet1!C:C,Sheet2!A168)</f>
        <v>1</v>
      </c>
    </row>
    <row r="169" spans="1:2" x14ac:dyDescent="0.25">
      <c r="A169" s="7" t="s">
        <v>2293</v>
      </c>
      <c r="B169" s="7">
        <f>COUNTIFS(Sheet1!C:C,Sheet2!A169)</f>
        <v>1</v>
      </c>
    </row>
    <row r="170" spans="1:2" x14ac:dyDescent="0.25">
      <c r="A170" s="7" t="s">
        <v>4130</v>
      </c>
      <c r="B170" s="7">
        <f>COUNTIFS(Sheet1!C:C,Sheet2!A170)</f>
        <v>1</v>
      </c>
    </row>
    <row r="171" spans="1:2" x14ac:dyDescent="0.25">
      <c r="A171" s="7" t="s">
        <v>3550</v>
      </c>
      <c r="B171" s="7">
        <f>COUNTIFS(Sheet1!C:C,Sheet2!A171)</f>
        <v>1</v>
      </c>
    </row>
    <row r="172" spans="1:2" x14ac:dyDescent="0.25">
      <c r="A172" s="7" t="s">
        <v>3906</v>
      </c>
      <c r="B172" s="7">
        <f>COUNTIFS(Sheet1!C:C,Sheet2!A172)</f>
        <v>1</v>
      </c>
    </row>
    <row r="173" spans="1:2" x14ac:dyDescent="0.25">
      <c r="A173" s="7" t="s">
        <v>4032</v>
      </c>
      <c r="B173" s="7">
        <f>COUNTIFS(Sheet1!C:C,Sheet2!A173)</f>
        <v>1</v>
      </c>
    </row>
    <row r="174" spans="1:2" x14ac:dyDescent="0.25">
      <c r="A174" s="7" t="s">
        <v>3694</v>
      </c>
      <c r="B174" s="7">
        <f>COUNTIFS(Sheet1!C:C,Sheet2!A174)</f>
        <v>2</v>
      </c>
    </row>
    <row r="175" spans="1:2" x14ac:dyDescent="0.25">
      <c r="A175" s="7" t="s">
        <v>2021</v>
      </c>
      <c r="B175" s="7">
        <f>COUNTIFS(Sheet1!C:C,Sheet2!A175)</f>
        <v>1</v>
      </c>
    </row>
    <row r="176" spans="1:2" x14ac:dyDescent="0.25">
      <c r="A176" s="7" t="s">
        <v>3093</v>
      </c>
      <c r="B176" s="7">
        <f>COUNTIFS(Sheet1!C:C,Sheet2!A176)</f>
        <v>1</v>
      </c>
    </row>
    <row r="177" spans="1:2" x14ac:dyDescent="0.25">
      <c r="A177" s="7" t="s">
        <v>1920</v>
      </c>
      <c r="B177" s="7">
        <f>COUNTIFS(Sheet1!C:C,Sheet2!A177)</f>
        <v>1</v>
      </c>
    </row>
    <row r="178" spans="1:2" x14ac:dyDescent="0.25">
      <c r="A178" s="7" t="s">
        <v>140</v>
      </c>
      <c r="B178" s="7">
        <f>COUNTIFS(Sheet1!C:C,Sheet2!A178)</f>
        <v>59</v>
      </c>
    </row>
    <row r="179" spans="1:2" x14ac:dyDescent="0.25">
      <c r="A179" s="7" t="s">
        <v>3070</v>
      </c>
      <c r="B179" s="7">
        <f>COUNTIFS(Sheet1!C:C,Sheet2!A179)</f>
        <v>1</v>
      </c>
    </row>
    <row r="180" spans="1:2" x14ac:dyDescent="0.25">
      <c r="A180" s="7" t="s">
        <v>2587</v>
      </c>
      <c r="B180" s="7">
        <f>COUNTIFS(Sheet1!C:C,Sheet2!A180)</f>
        <v>1</v>
      </c>
    </row>
    <row r="181" spans="1:2" x14ac:dyDescent="0.25">
      <c r="A181" s="7" t="s">
        <v>3690</v>
      </c>
      <c r="B181" s="7">
        <f>COUNTIFS(Sheet1!C:C,Sheet2!A181)</f>
        <v>1</v>
      </c>
    </row>
    <row r="182" spans="1:2" x14ac:dyDescent="0.25">
      <c r="A182" s="7" t="s">
        <v>1617</v>
      </c>
      <c r="B182" s="7">
        <f>COUNTIFS(Sheet1!C:C,Sheet2!A182)</f>
        <v>2</v>
      </c>
    </row>
    <row r="183" spans="1:2" x14ac:dyDescent="0.25">
      <c r="A183" s="7" t="s">
        <v>2783</v>
      </c>
      <c r="B183" s="7">
        <f>COUNTIFS(Sheet1!C:C,Sheet2!A183)</f>
        <v>1</v>
      </c>
    </row>
    <row r="184" spans="1:2" x14ac:dyDescent="0.25">
      <c r="A184" s="7" t="s">
        <v>1909</v>
      </c>
      <c r="B184" s="7">
        <f>COUNTIFS(Sheet1!C:C,Sheet2!A184)</f>
        <v>1</v>
      </c>
    </row>
    <row r="185" spans="1:2" x14ac:dyDescent="0.25">
      <c r="A185" s="7" t="s">
        <v>2420</v>
      </c>
      <c r="B185" s="7">
        <f>COUNTIFS(Sheet1!C:C,Sheet2!A185)</f>
        <v>1</v>
      </c>
    </row>
    <row r="186" spans="1:2" x14ac:dyDescent="0.25">
      <c r="A186" s="7" t="s">
        <v>1108</v>
      </c>
      <c r="B186" s="7">
        <f>COUNTIFS(Sheet1!C:C,Sheet2!A186)</f>
        <v>1</v>
      </c>
    </row>
    <row r="187" spans="1:2" x14ac:dyDescent="0.25">
      <c r="A187" s="7" t="s">
        <v>1390</v>
      </c>
      <c r="B187" s="7">
        <f>COUNTIFS(Sheet1!C:C,Sheet2!A187)</f>
        <v>1</v>
      </c>
    </row>
    <row r="188" spans="1:2" x14ac:dyDescent="0.25">
      <c r="A188" s="7" t="s">
        <v>1534</v>
      </c>
      <c r="B188" s="7">
        <f>COUNTIFS(Sheet1!C:C,Sheet2!A188)</f>
        <v>1</v>
      </c>
    </row>
    <row r="189" spans="1:2" x14ac:dyDescent="0.25">
      <c r="A189" s="7" t="s">
        <v>65</v>
      </c>
      <c r="B189" s="7">
        <f>COUNTIFS(Sheet1!C:C,Sheet2!A189)</f>
        <v>24</v>
      </c>
    </row>
    <row r="190" spans="1:2" x14ac:dyDescent="0.25">
      <c r="A190" s="7" t="s">
        <v>251</v>
      </c>
      <c r="B190" s="7">
        <f>COUNTIFS(Sheet1!C:C,Sheet2!A190)</f>
        <v>6</v>
      </c>
    </row>
    <row r="191" spans="1:2" x14ac:dyDescent="0.25">
      <c r="A191" s="7" t="s">
        <v>528</v>
      </c>
      <c r="B191" s="7">
        <f>COUNTIFS(Sheet1!C:C,Sheet2!A191)</f>
        <v>1</v>
      </c>
    </row>
    <row r="192" spans="1:2" x14ac:dyDescent="0.25">
      <c r="A192" s="7" t="s">
        <v>4092</v>
      </c>
      <c r="B192" s="7">
        <f>COUNTIFS(Sheet1!C:C,Sheet2!A192)</f>
        <v>1</v>
      </c>
    </row>
    <row r="193" spans="1:2" x14ac:dyDescent="0.25">
      <c r="A193" s="7" t="s">
        <v>3464</v>
      </c>
      <c r="B193" s="7">
        <f>COUNTIFS(Sheet1!C:C,Sheet2!A193)</f>
        <v>1</v>
      </c>
    </row>
    <row r="194" spans="1:2" x14ac:dyDescent="0.25">
      <c r="A194" s="7" t="s">
        <v>4300</v>
      </c>
      <c r="B194" s="7">
        <f>COUNTIFS(Sheet1!C:C,Sheet2!A194)</f>
        <v>1</v>
      </c>
    </row>
    <row r="195" spans="1:2" x14ac:dyDescent="0.25">
      <c r="A195" s="7" t="s">
        <v>2705</v>
      </c>
      <c r="B195" s="7">
        <f>COUNTIFS(Sheet1!C:C,Sheet2!A195)</f>
        <v>1</v>
      </c>
    </row>
    <row r="196" spans="1:2" x14ac:dyDescent="0.25">
      <c r="A196" s="7" t="s">
        <v>2160</v>
      </c>
      <c r="B196" s="7">
        <f>COUNTIFS(Sheet1!C:C,Sheet2!A196)</f>
        <v>1</v>
      </c>
    </row>
    <row r="197" spans="1:2" x14ac:dyDescent="0.25">
      <c r="A197" s="7" t="s">
        <v>1813</v>
      </c>
      <c r="B197" s="7">
        <f>COUNTIFS(Sheet1!C:C,Sheet2!A197)</f>
        <v>1</v>
      </c>
    </row>
    <row r="198" spans="1:2" x14ac:dyDescent="0.25">
      <c r="A198" s="7" t="s">
        <v>3021</v>
      </c>
      <c r="B198" s="7">
        <f>COUNTIFS(Sheet1!C:C,Sheet2!A198)</f>
        <v>1</v>
      </c>
    </row>
    <row r="199" spans="1:2" x14ac:dyDescent="0.25">
      <c r="A199" s="7" t="s">
        <v>536</v>
      </c>
      <c r="B199" s="7">
        <f>COUNTIFS(Sheet1!C:C,Sheet2!A199)</f>
        <v>3</v>
      </c>
    </row>
    <row r="200" spans="1:2" x14ac:dyDescent="0.25">
      <c r="A200" s="7" t="s">
        <v>1405</v>
      </c>
      <c r="B200" s="7">
        <f>COUNTIFS(Sheet1!C:C,Sheet2!A200)</f>
        <v>2</v>
      </c>
    </row>
    <row r="201" spans="1:2" x14ac:dyDescent="0.25">
      <c r="A201" s="7" t="s">
        <v>4206</v>
      </c>
      <c r="B201" s="7">
        <f>COUNTIFS(Sheet1!C:C,Sheet2!A201)</f>
        <v>1</v>
      </c>
    </row>
    <row r="202" spans="1:2" x14ac:dyDescent="0.25">
      <c r="A202" s="7" t="s">
        <v>1954</v>
      </c>
      <c r="B202" s="7">
        <f>COUNTIFS(Sheet1!C:C,Sheet2!A202)</f>
        <v>1</v>
      </c>
    </row>
    <row r="203" spans="1:2" x14ac:dyDescent="0.25">
      <c r="A203" s="7" t="s">
        <v>2645</v>
      </c>
      <c r="B203" s="7">
        <f>COUNTIFS(Sheet1!C:C,Sheet2!A203)</f>
        <v>1</v>
      </c>
    </row>
    <row r="204" spans="1:2" x14ac:dyDescent="0.25">
      <c r="A204" s="7" t="s">
        <v>414</v>
      </c>
      <c r="B204" s="7">
        <f>COUNTIFS(Sheet1!C:C,Sheet2!A204)</f>
        <v>1</v>
      </c>
    </row>
    <row r="205" spans="1:2" x14ac:dyDescent="0.25">
      <c r="A205" s="7" t="s">
        <v>2668</v>
      </c>
      <c r="B205" s="7">
        <f>COUNTIFS(Sheet1!C:C,Sheet2!A205)</f>
        <v>1</v>
      </c>
    </row>
    <row r="206" spans="1:2" x14ac:dyDescent="0.25">
      <c r="A206" s="7" t="s">
        <v>3612</v>
      </c>
      <c r="B206" s="7">
        <f>COUNTIFS(Sheet1!C:C,Sheet2!A206)</f>
        <v>1</v>
      </c>
    </row>
    <row r="207" spans="1:2" x14ac:dyDescent="0.25">
      <c r="A207" s="7" t="s">
        <v>1729</v>
      </c>
      <c r="B207" s="7">
        <f>COUNTIFS(Sheet1!C:C,Sheet2!A207)</f>
        <v>1</v>
      </c>
    </row>
    <row r="208" spans="1:2" x14ac:dyDescent="0.25">
      <c r="A208" s="7" t="s">
        <v>1984</v>
      </c>
      <c r="B208" s="7">
        <f>COUNTIFS(Sheet1!C:C,Sheet2!A208)</f>
        <v>1</v>
      </c>
    </row>
    <row r="209" spans="1:2" x14ac:dyDescent="0.25">
      <c r="A209" s="7" t="s">
        <v>3454</v>
      </c>
      <c r="B209" s="7">
        <f>COUNTIFS(Sheet1!C:C,Sheet2!A209)</f>
        <v>1</v>
      </c>
    </row>
    <row r="210" spans="1:2" x14ac:dyDescent="0.25">
      <c r="A210" s="7" t="s">
        <v>2895</v>
      </c>
      <c r="B210" s="7">
        <f>COUNTIFS(Sheet1!C:C,Sheet2!A210)</f>
        <v>1</v>
      </c>
    </row>
    <row r="211" spans="1:2" x14ac:dyDescent="0.25">
      <c r="A211" s="7" t="s">
        <v>494</v>
      </c>
      <c r="B211" s="7">
        <f>COUNTIFS(Sheet1!C:C,Sheet2!A211)</f>
        <v>2</v>
      </c>
    </row>
    <row r="212" spans="1:2" x14ac:dyDescent="0.25">
      <c r="A212" s="7" t="s">
        <v>3919</v>
      </c>
      <c r="B212" s="7">
        <f>COUNTIFS(Sheet1!C:C,Sheet2!A212)</f>
        <v>1</v>
      </c>
    </row>
    <row r="213" spans="1:2" x14ac:dyDescent="0.25">
      <c r="A213" s="7" t="s">
        <v>3651</v>
      </c>
      <c r="B213" s="7">
        <f>COUNTIFS(Sheet1!C:C,Sheet2!A213)</f>
        <v>1</v>
      </c>
    </row>
    <row r="214" spans="1:2" x14ac:dyDescent="0.25">
      <c r="A214" s="7" t="s">
        <v>2474</v>
      </c>
      <c r="B214" s="7">
        <f>COUNTIFS(Sheet1!C:C,Sheet2!A214)</f>
        <v>1</v>
      </c>
    </row>
    <row r="215" spans="1:2" x14ac:dyDescent="0.25">
      <c r="A215" s="7" t="s">
        <v>3725</v>
      </c>
      <c r="B215" s="7">
        <f>COUNTIFS(Sheet1!C:C,Sheet2!A215)</f>
        <v>1</v>
      </c>
    </row>
    <row r="216" spans="1:2" x14ac:dyDescent="0.25">
      <c r="A216" s="7" t="s">
        <v>3752</v>
      </c>
      <c r="B216" s="7">
        <f>COUNTIFS(Sheet1!C:C,Sheet2!A216)</f>
        <v>1</v>
      </c>
    </row>
    <row r="217" spans="1:2" x14ac:dyDescent="0.25">
      <c r="A217" s="7" t="s">
        <v>2976</v>
      </c>
      <c r="B217" s="7">
        <f>COUNTIFS(Sheet1!C:C,Sheet2!A217)</f>
        <v>4</v>
      </c>
    </row>
    <row r="218" spans="1:2" x14ac:dyDescent="0.25">
      <c r="A218" s="7" t="s">
        <v>3277</v>
      </c>
      <c r="B218" s="7">
        <f>COUNTIFS(Sheet1!C:C,Sheet2!A218)</f>
        <v>2</v>
      </c>
    </row>
    <row r="219" spans="1:2" x14ac:dyDescent="0.25">
      <c r="A219" s="7" t="s">
        <v>4010</v>
      </c>
      <c r="B219" s="7">
        <f>COUNTIFS(Sheet1!C:C,Sheet2!A219)</f>
        <v>1</v>
      </c>
    </row>
    <row r="220" spans="1:2" x14ac:dyDescent="0.25">
      <c r="A220" s="7" t="s">
        <v>2703</v>
      </c>
      <c r="B220" s="7">
        <f>COUNTIFS(Sheet1!C:C,Sheet2!A220)</f>
        <v>1</v>
      </c>
    </row>
    <row r="221" spans="1:2" x14ac:dyDescent="0.25">
      <c r="A221" s="7" t="s">
        <v>1200</v>
      </c>
      <c r="B221" s="7">
        <f>COUNTIFS(Sheet1!C:C,Sheet2!A221)</f>
        <v>1</v>
      </c>
    </row>
    <row r="222" spans="1:2" x14ac:dyDescent="0.25">
      <c r="A222" s="7" t="s">
        <v>3119</v>
      </c>
      <c r="B222" s="7">
        <f>COUNTIFS(Sheet1!C:C,Sheet2!A222)</f>
        <v>1</v>
      </c>
    </row>
    <row r="223" spans="1:2" x14ac:dyDescent="0.25">
      <c r="A223" s="7" t="s">
        <v>2799</v>
      </c>
      <c r="B223" s="7">
        <f>COUNTIFS(Sheet1!C:C,Sheet2!A223)</f>
        <v>2</v>
      </c>
    </row>
    <row r="224" spans="1:2" x14ac:dyDescent="0.25">
      <c r="A224" s="7" t="s">
        <v>15</v>
      </c>
      <c r="B224" s="7">
        <f>COUNTIFS(Sheet1!C:C,Sheet2!A224)</f>
        <v>1</v>
      </c>
    </row>
    <row r="225" spans="1:2" x14ac:dyDescent="0.25">
      <c r="A225" s="7" t="s">
        <v>220</v>
      </c>
      <c r="B225" s="7">
        <f>COUNTIFS(Sheet1!C:C,Sheet2!A225)</f>
        <v>1</v>
      </c>
    </row>
    <row r="226" spans="1:2" x14ac:dyDescent="0.25">
      <c r="A226" s="7" t="s">
        <v>87</v>
      </c>
      <c r="B226" s="7">
        <f>COUNTIFS(Sheet1!C:C,Sheet2!A226)</f>
        <v>4</v>
      </c>
    </row>
    <row r="227" spans="1:2" x14ac:dyDescent="0.25">
      <c r="A227" s="7" t="s">
        <v>3452</v>
      </c>
      <c r="B227" s="7">
        <f>COUNTIFS(Sheet1!C:C,Sheet2!A227)</f>
        <v>1</v>
      </c>
    </row>
    <row r="228" spans="1:2" x14ac:dyDescent="0.25">
      <c r="A228" s="7" t="s">
        <v>1715</v>
      </c>
      <c r="B228" s="7">
        <f>COUNTIFS(Sheet1!C:C,Sheet2!A228)</f>
        <v>1</v>
      </c>
    </row>
    <row r="229" spans="1:2" x14ac:dyDescent="0.25">
      <c r="A229" s="7" t="s">
        <v>2106</v>
      </c>
      <c r="B229" s="7">
        <f>COUNTIFS(Sheet1!C:C,Sheet2!A229)</f>
        <v>1</v>
      </c>
    </row>
    <row r="230" spans="1:2" x14ac:dyDescent="0.25">
      <c r="A230" s="7" t="s">
        <v>2254</v>
      </c>
      <c r="B230" s="7">
        <f>COUNTIFS(Sheet1!C:C,Sheet2!A230)</f>
        <v>1</v>
      </c>
    </row>
    <row r="231" spans="1:2" x14ac:dyDescent="0.25">
      <c r="A231" s="7" t="s">
        <v>1948</v>
      </c>
      <c r="B231" s="7">
        <f>COUNTIFS(Sheet1!C:C,Sheet2!A231)</f>
        <v>1</v>
      </c>
    </row>
    <row r="232" spans="1:2" x14ac:dyDescent="0.25">
      <c r="A232" s="7" t="s">
        <v>1749</v>
      </c>
      <c r="B232" s="7">
        <f>COUNTIFS(Sheet1!C:C,Sheet2!A232)</f>
        <v>1</v>
      </c>
    </row>
    <row r="233" spans="1:2" x14ac:dyDescent="0.25">
      <c r="A233" s="7" t="s">
        <v>1854</v>
      </c>
      <c r="B233" s="7">
        <f>COUNTIFS(Sheet1!C:C,Sheet2!A233)</f>
        <v>2</v>
      </c>
    </row>
    <row r="234" spans="1:2" x14ac:dyDescent="0.25">
      <c r="A234" s="7" t="s">
        <v>1725</v>
      </c>
      <c r="B234" s="7">
        <f>COUNTIFS(Sheet1!C:C,Sheet2!A234)</f>
        <v>1</v>
      </c>
    </row>
    <row r="235" spans="1:2" x14ac:dyDescent="0.25">
      <c r="A235" s="7" t="s">
        <v>31</v>
      </c>
      <c r="B235" s="7">
        <f>COUNTIFS(Sheet1!C:C,Sheet2!A235)</f>
        <v>7</v>
      </c>
    </row>
    <row r="236" spans="1:2" x14ac:dyDescent="0.25">
      <c r="A236" s="7" t="s">
        <v>2722</v>
      </c>
      <c r="B236" s="7">
        <f>COUNTIFS(Sheet1!C:C,Sheet2!A236)</f>
        <v>4</v>
      </c>
    </row>
    <row r="237" spans="1:2" x14ac:dyDescent="0.25">
      <c r="A237" s="7" t="s">
        <v>2618</v>
      </c>
      <c r="B237" s="7">
        <f>COUNTIFS(Sheet1!C:C,Sheet2!A237)</f>
        <v>1</v>
      </c>
    </row>
    <row r="238" spans="1:2" x14ac:dyDescent="0.25">
      <c r="A238" s="7" t="s">
        <v>669</v>
      </c>
      <c r="B238" s="7">
        <f>COUNTIFS(Sheet1!C:C,Sheet2!A238)</f>
        <v>2</v>
      </c>
    </row>
    <row r="239" spans="1:2" x14ac:dyDescent="0.25">
      <c r="A239" s="7" t="s">
        <v>837</v>
      </c>
      <c r="B239" s="7">
        <f>COUNTIFS(Sheet1!C:C,Sheet2!A239)</f>
        <v>6</v>
      </c>
    </row>
    <row r="240" spans="1:2" x14ac:dyDescent="0.25">
      <c r="A240" s="7" t="s">
        <v>3218</v>
      </c>
      <c r="B240" s="7">
        <f>COUNTIFS(Sheet1!C:C,Sheet2!A240)</f>
        <v>1</v>
      </c>
    </row>
    <row r="241" spans="1:2" x14ac:dyDescent="0.25">
      <c r="A241" s="7" t="s">
        <v>1605</v>
      </c>
      <c r="B241" s="7">
        <f>COUNTIFS(Sheet1!C:C,Sheet2!A241)</f>
        <v>1</v>
      </c>
    </row>
    <row r="242" spans="1:2" x14ac:dyDescent="0.25">
      <c r="A242" s="7" t="s">
        <v>2908</v>
      </c>
      <c r="B242" s="7">
        <f>COUNTIFS(Sheet1!C:C,Sheet2!A242)</f>
        <v>1</v>
      </c>
    </row>
    <row r="243" spans="1:2" x14ac:dyDescent="0.25">
      <c r="A243" s="7" t="s">
        <v>2576</v>
      </c>
      <c r="B243" s="7">
        <f>COUNTIFS(Sheet1!C:C,Sheet2!A243)</f>
        <v>1</v>
      </c>
    </row>
    <row r="244" spans="1:2" x14ac:dyDescent="0.25">
      <c r="A244" s="7" t="s">
        <v>2927</v>
      </c>
      <c r="B244" s="7">
        <f>COUNTIFS(Sheet1!C:C,Sheet2!A244)</f>
        <v>1</v>
      </c>
    </row>
    <row r="245" spans="1:2" x14ac:dyDescent="0.25">
      <c r="A245" s="7" t="s">
        <v>2017</v>
      </c>
      <c r="B245" s="7">
        <f>COUNTIFS(Sheet1!C:C,Sheet2!A245)</f>
        <v>1</v>
      </c>
    </row>
    <row r="246" spans="1:2" x14ac:dyDescent="0.25">
      <c r="A246" s="7" t="s">
        <v>1273</v>
      </c>
      <c r="B246" s="7">
        <f>COUNTIFS(Sheet1!C:C,Sheet2!A246)</f>
        <v>1</v>
      </c>
    </row>
    <row r="247" spans="1:2" x14ac:dyDescent="0.25">
      <c r="A247" s="7" t="s">
        <v>156</v>
      </c>
      <c r="B247" s="7">
        <f>COUNTIFS(Sheet1!C:C,Sheet2!A247)</f>
        <v>1</v>
      </c>
    </row>
    <row r="248" spans="1:2" x14ac:dyDescent="0.25">
      <c r="A248" s="7" t="s">
        <v>3177</v>
      </c>
      <c r="B248" s="7">
        <f>COUNTIFS(Sheet1!C:C,Sheet2!A248)</f>
        <v>1</v>
      </c>
    </row>
    <row r="249" spans="1:2" x14ac:dyDescent="0.25">
      <c r="A249" s="7" t="s">
        <v>1923</v>
      </c>
      <c r="B249" s="7">
        <f>COUNTIFS(Sheet1!C:C,Sheet2!A249)</f>
        <v>1</v>
      </c>
    </row>
    <row r="250" spans="1:2" x14ac:dyDescent="0.25">
      <c r="A250" s="7" t="s">
        <v>3230</v>
      </c>
      <c r="B250" s="7">
        <f>COUNTIFS(Sheet1!C:C,Sheet2!A250)</f>
        <v>1</v>
      </c>
    </row>
    <row r="251" spans="1:2" x14ac:dyDescent="0.25">
      <c r="A251" s="7" t="s">
        <v>4266</v>
      </c>
      <c r="B251" s="7">
        <f>COUNTIFS(Sheet1!C:C,Sheet2!A251)</f>
        <v>1</v>
      </c>
    </row>
    <row r="252" spans="1:2" x14ac:dyDescent="0.25">
      <c r="A252" s="7" t="s">
        <v>2010</v>
      </c>
      <c r="B252" s="7">
        <f>COUNTIFS(Sheet1!C:C,Sheet2!A252)</f>
        <v>1</v>
      </c>
    </row>
    <row r="253" spans="1:2" x14ac:dyDescent="0.25">
      <c r="A253" s="7" t="s">
        <v>3493</v>
      </c>
      <c r="B253" s="7">
        <f>COUNTIFS(Sheet1!C:C,Sheet2!A253)</f>
        <v>1</v>
      </c>
    </row>
    <row r="254" spans="1:2" x14ac:dyDescent="0.25">
      <c r="A254" s="7" t="s">
        <v>61</v>
      </c>
      <c r="B254" s="7">
        <f>COUNTIFS(Sheet1!C:C,Sheet2!A254)</f>
        <v>3</v>
      </c>
    </row>
    <row r="255" spans="1:2" x14ac:dyDescent="0.25">
      <c r="A255" s="7" t="s">
        <v>2002</v>
      </c>
      <c r="B255" s="7">
        <f>COUNTIFS(Sheet1!C:C,Sheet2!A255)</f>
        <v>1</v>
      </c>
    </row>
    <row r="256" spans="1:2" x14ac:dyDescent="0.25">
      <c r="A256" s="7" t="s">
        <v>242</v>
      </c>
      <c r="B256" s="7">
        <f>COUNTIFS(Sheet1!C:C,Sheet2!A256)</f>
        <v>1</v>
      </c>
    </row>
    <row r="257" spans="1:2" x14ac:dyDescent="0.25">
      <c r="A257" s="7" t="s">
        <v>1416</v>
      </c>
      <c r="B257" s="7">
        <f>COUNTIFS(Sheet1!C:C,Sheet2!A257)</f>
        <v>2</v>
      </c>
    </row>
    <row r="258" spans="1:2" x14ac:dyDescent="0.25">
      <c r="A258" s="7" t="s">
        <v>1551</v>
      </c>
      <c r="B258" s="7">
        <f>COUNTIFS(Sheet1!C:C,Sheet2!A258)</f>
        <v>1</v>
      </c>
    </row>
    <row r="259" spans="1:2" x14ac:dyDescent="0.25">
      <c r="A259" s="7" t="s">
        <v>3963</v>
      </c>
      <c r="B259" s="7">
        <f>COUNTIFS(Sheet1!C:C,Sheet2!A259)</f>
        <v>1</v>
      </c>
    </row>
    <row r="260" spans="1:2" x14ac:dyDescent="0.25">
      <c r="A260" s="7" t="s">
        <v>1466</v>
      </c>
      <c r="B260" s="7">
        <f>COUNTIFS(Sheet1!C:C,Sheet2!A260)</f>
        <v>2</v>
      </c>
    </row>
    <row r="261" spans="1:2" x14ac:dyDescent="0.25">
      <c r="A261" s="7" t="s">
        <v>368</v>
      </c>
      <c r="B261" s="7">
        <f>COUNTIFS(Sheet1!C:C,Sheet2!A261)</f>
        <v>1</v>
      </c>
    </row>
    <row r="262" spans="1:2" x14ac:dyDescent="0.25">
      <c r="A262" s="7" t="s">
        <v>2050</v>
      </c>
      <c r="B262" s="7">
        <f>COUNTIFS(Sheet1!C:C,Sheet2!A262)</f>
        <v>1</v>
      </c>
    </row>
    <row r="263" spans="1:2" x14ac:dyDescent="0.25">
      <c r="A263" s="7" t="s">
        <v>1969</v>
      </c>
      <c r="B263" s="7">
        <f>COUNTIFS(Sheet1!C:C,Sheet2!A263)</f>
        <v>1</v>
      </c>
    </row>
    <row r="264" spans="1:2" x14ac:dyDescent="0.25">
      <c r="A264" s="7" t="s">
        <v>1688</v>
      </c>
      <c r="B264" s="7">
        <f>COUNTIFS(Sheet1!C:C,Sheet2!A264)</f>
        <v>1</v>
      </c>
    </row>
    <row r="265" spans="1:2" x14ac:dyDescent="0.25">
      <c r="A265" s="7" t="s">
        <v>1598</v>
      </c>
      <c r="B265" s="7">
        <f>COUNTIFS(Sheet1!C:C,Sheet2!A265)</f>
        <v>1</v>
      </c>
    </row>
    <row r="266" spans="1:2" x14ac:dyDescent="0.25">
      <c r="A266" s="7" t="s">
        <v>2812</v>
      </c>
      <c r="B266" s="7">
        <f>COUNTIFS(Sheet1!C:C,Sheet2!A266)</f>
        <v>1</v>
      </c>
    </row>
    <row r="267" spans="1:2" x14ac:dyDescent="0.25">
      <c r="A267" s="7" t="s">
        <v>3424</v>
      </c>
      <c r="B267" s="7">
        <f>COUNTIFS(Sheet1!C:C,Sheet2!A267)</f>
        <v>1</v>
      </c>
    </row>
    <row r="268" spans="1:2" x14ac:dyDescent="0.25">
      <c r="A268" s="7" t="s">
        <v>3101</v>
      </c>
      <c r="B268" s="7">
        <f>COUNTIFS(Sheet1!C:C,Sheet2!A268)</f>
        <v>1</v>
      </c>
    </row>
    <row r="269" spans="1:2" x14ac:dyDescent="0.25">
      <c r="A269" s="7" t="s">
        <v>2893</v>
      </c>
      <c r="B269" s="7">
        <f>COUNTIFS(Sheet1!C:C,Sheet2!A269)</f>
        <v>1</v>
      </c>
    </row>
    <row r="270" spans="1:2" x14ac:dyDescent="0.25">
      <c r="A270" s="7" t="s">
        <v>3482</v>
      </c>
      <c r="B270" s="7">
        <f>COUNTIFS(Sheet1!C:C,Sheet2!A270)</f>
        <v>1</v>
      </c>
    </row>
    <row r="271" spans="1:2" x14ac:dyDescent="0.25">
      <c r="A271" s="7" t="s">
        <v>1995</v>
      </c>
      <c r="B271" s="7">
        <f>COUNTIFS(Sheet1!C:C,Sheet2!A271)</f>
        <v>1</v>
      </c>
    </row>
    <row r="272" spans="1:2" x14ac:dyDescent="0.25">
      <c r="A272" s="7" t="s">
        <v>1392</v>
      </c>
      <c r="B272" s="7">
        <f>COUNTIFS(Sheet1!C:C,Sheet2!A272)</f>
        <v>1</v>
      </c>
    </row>
    <row r="273" spans="1:2" x14ac:dyDescent="0.25">
      <c r="A273" s="7" t="s">
        <v>3381</v>
      </c>
      <c r="B273" s="7">
        <f>COUNTIFS(Sheet1!C:C,Sheet2!A273)</f>
        <v>1</v>
      </c>
    </row>
    <row r="274" spans="1:2" x14ac:dyDescent="0.25">
      <c r="A274" s="7" t="s">
        <v>3086</v>
      </c>
      <c r="B274" s="7">
        <f>COUNTIFS(Sheet1!C:C,Sheet2!A274)</f>
        <v>1</v>
      </c>
    </row>
    <row r="275" spans="1:2" x14ac:dyDescent="0.25">
      <c r="A275" s="7" t="s">
        <v>2763</v>
      </c>
      <c r="B275" s="7">
        <f>COUNTIFS(Sheet1!C:C,Sheet2!A275)</f>
        <v>1</v>
      </c>
    </row>
    <row r="276" spans="1:2" x14ac:dyDescent="0.25">
      <c r="A276" s="7" t="s">
        <v>2890</v>
      </c>
      <c r="B276" s="7">
        <f>COUNTIFS(Sheet1!C:C,Sheet2!A276)</f>
        <v>1</v>
      </c>
    </row>
    <row r="277" spans="1:2" x14ac:dyDescent="0.25">
      <c r="A277" s="7" t="s">
        <v>2822</v>
      </c>
      <c r="B277" s="7">
        <f>COUNTIFS(Sheet1!C:C,Sheet2!A277)</f>
        <v>1</v>
      </c>
    </row>
    <row r="278" spans="1:2" x14ac:dyDescent="0.25">
      <c r="A278" s="7" t="s">
        <v>2802</v>
      </c>
      <c r="B278" s="7">
        <f>COUNTIFS(Sheet1!C:C,Sheet2!A278)</f>
        <v>1</v>
      </c>
    </row>
    <row r="279" spans="1:2" x14ac:dyDescent="0.25">
      <c r="A279" s="7" t="s">
        <v>1543</v>
      </c>
      <c r="B279" s="7">
        <f>COUNTIFS(Sheet1!C:C,Sheet2!A279)</f>
        <v>1</v>
      </c>
    </row>
    <row r="280" spans="1:2" x14ac:dyDescent="0.25">
      <c r="A280" s="7" t="s">
        <v>3269</v>
      </c>
      <c r="B280" s="7">
        <f>COUNTIFS(Sheet1!C:C,Sheet2!A280)</f>
        <v>1</v>
      </c>
    </row>
    <row r="281" spans="1:2" x14ac:dyDescent="0.25">
      <c r="A281" s="7" t="s">
        <v>2197</v>
      </c>
      <c r="B281" s="7">
        <f>COUNTIFS(Sheet1!C:C,Sheet2!A281)</f>
        <v>1</v>
      </c>
    </row>
    <row r="282" spans="1:2" x14ac:dyDescent="0.25">
      <c r="A282" s="7" t="s">
        <v>1668</v>
      </c>
      <c r="B282" s="7">
        <f>COUNTIFS(Sheet1!C:C,Sheet2!A282)</f>
        <v>1</v>
      </c>
    </row>
    <row r="283" spans="1:2" x14ac:dyDescent="0.25">
      <c r="A283" s="7" t="s">
        <v>4310</v>
      </c>
      <c r="B283" s="7">
        <f>COUNTIFS(Sheet1!C:C,Sheet2!A283)</f>
        <v>1</v>
      </c>
    </row>
    <row r="284" spans="1:2" x14ac:dyDescent="0.25">
      <c r="A284" s="7" t="s">
        <v>433</v>
      </c>
      <c r="B284" s="7">
        <f>COUNTIFS(Sheet1!C:C,Sheet2!A284)</f>
        <v>1</v>
      </c>
    </row>
    <row r="285" spans="1:2" x14ac:dyDescent="0.25">
      <c r="A285" s="7" t="s">
        <v>3293</v>
      </c>
      <c r="B285" s="7">
        <f>COUNTIFS(Sheet1!C:C,Sheet2!A285)</f>
        <v>1</v>
      </c>
    </row>
    <row r="286" spans="1:2" x14ac:dyDescent="0.25">
      <c r="A286" s="7" t="s">
        <v>1664</v>
      </c>
      <c r="B286" s="7">
        <f>COUNTIFS(Sheet1!C:C,Sheet2!A286)</f>
        <v>1</v>
      </c>
    </row>
    <row r="287" spans="1:2" x14ac:dyDescent="0.25">
      <c r="A287" s="7" t="s">
        <v>178</v>
      </c>
      <c r="B287" s="7">
        <f>COUNTIFS(Sheet1!C:C,Sheet2!A287)</f>
        <v>1</v>
      </c>
    </row>
    <row r="288" spans="1:2" x14ac:dyDescent="0.25">
      <c r="A288" s="7" t="s">
        <v>3374</v>
      </c>
      <c r="B288" s="7">
        <f>COUNTIFS(Sheet1!C:C,Sheet2!A288)</f>
        <v>1</v>
      </c>
    </row>
    <row r="289" spans="1:2" x14ac:dyDescent="0.25">
      <c r="A289" s="7" t="s">
        <v>1881</v>
      </c>
      <c r="B289" s="7">
        <f>COUNTIFS(Sheet1!C:C,Sheet2!A289)</f>
        <v>1</v>
      </c>
    </row>
    <row r="290" spans="1:2" x14ac:dyDescent="0.25">
      <c r="A290" s="7" t="s">
        <v>1082</v>
      </c>
      <c r="B290" s="7">
        <f>COUNTIFS(Sheet1!C:C,Sheet2!A290)</f>
        <v>1</v>
      </c>
    </row>
    <row r="291" spans="1:2" x14ac:dyDescent="0.25">
      <c r="A291" s="7" t="s">
        <v>3324</v>
      </c>
      <c r="B291" s="7">
        <f>COUNTIFS(Sheet1!C:C,Sheet2!A291)</f>
        <v>1</v>
      </c>
    </row>
    <row r="292" spans="1:2" x14ac:dyDescent="0.25">
      <c r="A292" s="7" t="s">
        <v>1903</v>
      </c>
      <c r="B292" s="7">
        <f>COUNTIFS(Sheet1!C:C,Sheet2!A292)</f>
        <v>4</v>
      </c>
    </row>
    <row r="293" spans="1:2" x14ac:dyDescent="0.25">
      <c r="A293" s="7" t="s">
        <v>2796</v>
      </c>
      <c r="B293" s="7">
        <f>COUNTIFS(Sheet1!C:C,Sheet2!A293)</f>
        <v>1</v>
      </c>
    </row>
    <row r="294" spans="1:2" x14ac:dyDescent="0.25">
      <c r="A294" s="7" t="s">
        <v>3998</v>
      </c>
      <c r="B294" s="7">
        <f>COUNTIFS(Sheet1!C:C,Sheet2!A294)</f>
        <v>1</v>
      </c>
    </row>
    <row r="295" spans="1:2" x14ac:dyDescent="0.25">
      <c r="A295" s="7" t="s">
        <v>3663</v>
      </c>
      <c r="B295" s="7">
        <f>COUNTIFS(Sheet1!C:C,Sheet2!A295)</f>
        <v>1</v>
      </c>
    </row>
    <row r="296" spans="1:2" x14ac:dyDescent="0.25">
      <c r="A296" s="7" t="s">
        <v>469</v>
      </c>
      <c r="B296" s="7">
        <f>COUNTIFS(Sheet1!C:C,Sheet2!A296)</f>
        <v>1</v>
      </c>
    </row>
    <row r="297" spans="1:2" x14ac:dyDescent="0.25">
      <c r="A297" s="7" t="s">
        <v>3405</v>
      </c>
      <c r="B297" s="7">
        <f>COUNTIFS(Sheet1!C:C,Sheet2!A297)</f>
        <v>1</v>
      </c>
    </row>
    <row r="298" spans="1:2" x14ac:dyDescent="0.25">
      <c r="A298" s="7" t="s">
        <v>697</v>
      </c>
      <c r="B298" s="7">
        <f>COUNTIFS(Sheet1!C:C,Sheet2!A298)</f>
        <v>1</v>
      </c>
    </row>
    <row r="299" spans="1:2" x14ac:dyDescent="0.25">
      <c r="A299" s="7" t="s">
        <v>394</v>
      </c>
      <c r="B299" s="7">
        <f>COUNTIFS(Sheet1!C:C,Sheet2!A299)</f>
        <v>1</v>
      </c>
    </row>
    <row r="300" spans="1:2" x14ac:dyDescent="0.25">
      <c r="A300" s="7" t="s">
        <v>1192</v>
      </c>
      <c r="B300" s="7">
        <f>COUNTIFS(Sheet1!C:C,Sheet2!A300)</f>
        <v>1</v>
      </c>
    </row>
    <row r="301" spans="1:2" x14ac:dyDescent="0.25">
      <c r="A301" s="7" t="s">
        <v>3259</v>
      </c>
      <c r="B301" s="7">
        <f>COUNTIFS(Sheet1!C:C,Sheet2!A301)</f>
        <v>1</v>
      </c>
    </row>
    <row r="302" spans="1:2" x14ac:dyDescent="0.25">
      <c r="A302" s="7" t="s">
        <v>1159</v>
      </c>
      <c r="B302" s="7">
        <f>COUNTIFS(Sheet1!C:C,Sheet2!A302)</f>
        <v>1</v>
      </c>
    </row>
    <row r="303" spans="1:2" x14ac:dyDescent="0.25">
      <c r="A303" s="7" t="s">
        <v>4059</v>
      </c>
      <c r="B303" s="7">
        <f>COUNTIFS(Sheet1!C:C,Sheet2!A303)</f>
        <v>1</v>
      </c>
    </row>
    <row r="304" spans="1:2" x14ac:dyDescent="0.25">
      <c r="A304" s="7" t="s">
        <v>1774</v>
      </c>
      <c r="B304" s="7">
        <f>COUNTIFS(Sheet1!C:C,Sheet2!A304)</f>
        <v>1</v>
      </c>
    </row>
    <row r="305" spans="1:2" x14ac:dyDescent="0.25">
      <c r="A305" s="7" t="s">
        <v>3377</v>
      </c>
      <c r="B305" s="7">
        <f>COUNTIFS(Sheet1!C:C,Sheet2!A305)</f>
        <v>1</v>
      </c>
    </row>
    <row r="306" spans="1:2" x14ac:dyDescent="0.25">
      <c r="A306" s="7" t="s">
        <v>2544</v>
      </c>
      <c r="B306" s="7">
        <f>COUNTIFS(Sheet1!C:C,Sheet2!A306)</f>
        <v>1</v>
      </c>
    </row>
    <row r="307" spans="1:2" x14ac:dyDescent="0.25">
      <c r="A307" s="7" t="s">
        <v>677</v>
      </c>
      <c r="B307" s="7">
        <f>COUNTIFS(Sheet1!C:C,Sheet2!A307)</f>
        <v>1</v>
      </c>
    </row>
    <row r="308" spans="1:2" x14ac:dyDescent="0.25">
      <c r="A308" s="7" t="s">
        <v>3245</v>
      </c>
      <c r="B308" s="7">
        <f>COUNTIFS(Sheet1!C:C,Sheet2!A308)</f>
        <v>1</v>
      </c>
    </row>
    <row r="309" spans="1:2" x14ac:dyDescent="0.25">
      <c r="A309" s="7" t="s">
        <v>387</v>
      </c>
      <c r="B309" s="7">
        <f>COUNTIFS(Sheet1!C:C,Sheet2!A309)</f>
        <v>6</v>
      </c>
    </row>
    <row r="310" spans="1:2" x14ac:dyDescent="0.25">
      <c r="A310" s="7" t="s">
        <v>3255</v>
      </c>
      <c r="B310" s="7">
        <f>COUNTIFS(Sheet1!C:C,Sheet2!A310)</f>
        <v>1</v>
      </c>
    </row>
    <row r="311" spans="1:2" x14ac:dyDescent="0.25">
      <c r="A311" s="7" t="s">
        <v>1166</v>
      </c>
      <c r="B311" s="7">
        <f>COUNTIFS(Sheet1!C:C,Sheet2!A311)</f>
        <v>1</v>
      </c>
    </row>
    <row r="312" spans="1:2" x14ac:dyDescent="0.25">
      <c r="A312" s="7" t="s">
        <v>1036</v>
      </c>
      <c r="B312" s="7">
        <f>COUNTIFS(Sheet1!C:C,Sheet2!A312)</f>
        <v>2</v>
      </c>
    </row>
    <row r="313" spans="1:2" x14ac:dyDescent="0.25">
      <c r="A313" s="7" t="s">
        <v>1696</v>
      </c>
      <c r="B313" s="7">
        <f>COUNTIFS(Sheet1!C:C,Sheet2!A313)</f>
        <v>1</v>
      </c>
    </row>
    <row r="314" spans="1:2" x14ac:dyDescent="0.25">
      <c r="A314" s="7" t="s">
        <v>1558</v>
      </c>
      <c r="B314" s="7">
        <f>COUNTIFS(Sheet1!C:C,Sheet2!A314)</f>
        <v>1</v>
      </c>
    </row>
    <row r="315" spans="1:2" x14ac:dyDescent="0.25">
      <c r="A315" s="7" t="s">
        <v>3729</v>
      </c>
      <c r="B315" s="7">
        <f>COUNTIFS(Sheet1!C:C,Sheet2!A315)</f>
        <v>1</v>
      </c>
    </row>
    <row r="316" spans="1:2" x14ac:dyDescent="0.25">
      <c r="A316" s="7" t="s">
        <v>3863</v>
      </c>
      <c r="B316" s="7">
        <f>COUNTIFS(Sheet1!C:C,Sheet2!A316)</f>
        <v>1</v>
      </c>
    </row>
    <row r="317" spans="1:2" x14ac:dyDescent="0.25">
      <c r="A317" s="7" t="s">
        <v>3148</v>
      </c>
      <c r="B317" s="7">
        <f>COUNTIFS(Sheet1!C:C,Sheet2!A317)</f>
        <v>1</v>
      </c>
    </row>
    <row r="318" spans="1:2" x14ac:dyDescent="0.25">
      <c r="A318" s="7" t="s">
        <v>1772</v>
      </c>
      <c r="B318" s="7">
        <f>COUNTIFS(Sheet1!C:C,Sheet2!A318)</f>
        <v>1</v>
      </c>
    </row>
    <row r="319" spans="1:2" x14ac:dyDescent="0.25">
      <c r="A319" s="7" t="s">
        <v>2384</v>
      </c>
      <c r="B319" s="7">
        <f>COUNTIFS(Sheet1!C:C,Sheet2!A319)</f>
        <v>1</v>
      </c>
    </row>
    <row r="320" spans="1:2" x14ac:dyDescent="0.25">
      <c r="A320" s="7" t="s">
        <v>1448</v>
      </c>
      <c r="B320" s="7">
        <f>COUNTIFS(Sheet1!C:C,Sheet2!A320)</f>
        <v>1</v>
      </c>
    </row>
    <row r="321" spans="1:2" x14ac:dyDescent="0.25">
      <c r="A321" s="7" t="s">
        <v>1280</v>
      </c>
      <c r="B321" s="7">
        <f>COUNTIFS(Sheet1!C:C,Sheet2!A321)</f>
        <v>1</v>
      </c>
    </row>
    <row r="322" spans="1:2" x14ac:dyDescent="0.25">
      <c r="A322" s="7" t="s">
        <v>1847</v>
      </c>
      <c r="B322" s="7">
        <f>COUNTIFS(Sheet1!C:C,Sheet2!A322)</f>
        <v>1</v>
      </c>
    </row>
    <row r="323" spans="1:2" x14ac:dyDescent="0.25">
      <c r="A323" s="7" t="s">
        <v>497</v>
      </c>
      <c r="B323" s="7">
        <f>COUNTIFS(Sheet1!C:C,Sheet2!A323)</f>
        <v>1</v>
      </c>
    </row>
    <row r="324" spans="1:2" x14ac:dyDescent="0.25">
      <c r="A324" s="7" t="s">
        <v>2316</v>
      </c>
      <c r="B324" s="7">
        <f>COUNTIFS(Sheet1!C:C,Sheet2!A324)</f>
        <v>1</v>
      </c>
    </row>
    <row r="325" spans="1:2" x14ac:dyDescent="0.25">
      <c r="A325" s="7" t="s">
        <v>2570</v>
      </c>
      <c r="B325" s="7">
        <f>COUNTIFS(Sheet1!C:C,Sheet2!A325)</f>
        <v>1</v>
      </c>
    </row>
    <row r="326" spans="1:2" x14ac:dyDescent="0.25">
      <c r="A326" s="7" t="s">
        <v>2999</v>
      </c>
      <c r="B326" s="7">
        <f>COUNTIFS(Sheet1!C:C,Sheet2!A326)</f>
        <v>1</v>
      </c>
    </row>
    <row r="327" spans="1:2" x14ac:dyDescent="0.25">
      <c r="A327" s="7" t="s">
        <v>1972</v>
      </c>
      <c r="B327" s="7">
        <f>COUNTIFS(Sheet1!C:C,Sheet2!A327)</f>
        <v>2</v>
      </c>
    </row>
    <row r="328" spans="1:2" x14ac:dyDescent="0.25">
      <c r="A328" s="7" t="s">
        <v>4160</v>
      </c>
      <c r="B328" s="7">
        <f>COUNTIFS(Sheet1!C:C,Sheet2!A328)</f>
        <v>1</v>
      </c>
    </row>
    <row r="329" spans="1:2" x14ac:dyDescent="0.25">
      <c r="A329" s="7" t="s">
        <v>2445</v>
      </c>
      <c r="B329" s="7">
        <f>COUNTIFS(Sheet1!C:C,Sheet2!A329)</f>
        <v>1</v>
      </c>
    </row>
    <row r="330" spans="1:2" x14ac:dyDescent="0.25">
      <c r="A330" s="7" t="s">
        <v>3337</v>
      </c>
      <c r="B330" s="7">
        <f>COUNTIFS(Sheet1!C:C,Sheet2!A330)</f>
        <v>1</v>
      </c>
    </row>
    <row r="331" spans="1:2" x14ac:dyDescent="0.25">
      <c r="A331" s="7" t="s">
        <v>3049</v>
      </c>
      <c r="B331" s="7">
        <f>COUNTIFS(Sheet1!C:C,Sheet2!A331)</f>
        <v>1</v>
      </c>
    </row>
    <row r="332" spans="1:2" x14ac:dyDescent="0.25">
      <c r="A332" s="7" t="s">
        <v>1220</v>
      </c>
      <c r="B332" s="7">
        <f>COUNTIFS(Sheet1!C:C,Sheet2!A332)</f>
        <v>1</v>
      </c>
    </row>
    <row r="333" spans="1:2" x14ac:dyDescent="0.25">
      <c r="A333" s="7" t="s">
        <v>1541</v>
      </c>
      <c r="B333" s="7">
        <f>COUNTIFS(Sheet1!C:C,Sheet2!A333)</f>
        <v>1</v>
      </c>
    </row>
    <row r="334" spans="1:2" x14ac:dyDescent="0.25">
      <c r="A334" s="7" t="s">
        <v>2621</v>
      </c>
      <c r="B334" s="7">
        <f>COUNTIFS(Sheet1!C:C,Sheet2!A334)</f>
        <v>1</v>
      </c>
    </row>
    <row r="335" spans="1:2" x14ac:dyDescent="0.25">
      <c r="A335" s="7" t="s">
        <v>539</v>
      </c>
      <c r="B335" s="7">
        <f>COUNTIFS(Sheet1!C:C,Sheet2!A335)</f>
        <v>1</v>
      </c>
    </row>
    <row r="336" spans="1:2" x14ac:dyDescent="0.25">
      <c r="A336" s="7" t="s">
        <v>1106</v>
      </c>
      <c r="B336" s="7">
        <f>COUNTIFS(Sheet1!C:C,Sheet2!A336)</f>
        <v>3</v>
      </c>
    </row>
    <row r="337" spans="1:2" x14ac:dyDescent="0.25">
      <c r="A337" s="7" t="s">
        <v>1022</v>
      </c>
      <c r="B337" s="7">
        <f>COUNTIFS(Sheet1!C:C,Sheet2!A337)</f>
        <v>1</v>
      </c>
    </row>
    <row r="338" spans="1:2" x14ac:dyDescent="0.25">
      <c r="A338" s="7" t="s">
        <v>750</v>
      </c>
      <c r="B338" s="7">
        <f>COUNTIFS(Sheet1!C:C,Sheet2!A338)</f>
        <v>1</v>
      </c>
    </row>
    <row r="339" spans="1:2" x14ac:dyDescent="0.25">
      <c r="A339" s="7" t="s">
        <v>2015</v>
      </c>
      <c r="B339" s="7">
        <f>COUNTIFS(Sheet1!C:C,Sheet2!A339)</f>
        <v>3</v>
      </c>
    </row>
    <row r="340" spans="1:2" x14ac:dyDescent="0.25">
      <c r="A340" s="7" t="s">
        <v>2264</v>
      </c>
      <c r="B340" s="7">
        <f>COUNTIFS(Sheet1!C:C,Sheet2!A340)</f>
        <v>1</v>
      </c>
    </row>
    <row r="341" spans="1:2" x14ac:dyDescent="0.25">
      <c r="A341" s="7" t="s">
        <v>230</v>
      </c>
      <c r="B341" s="7">
        <f>COUNTIFS(Sheet1!C:C,Sheet2!A341)</f>
        <v>2</v>
      </c>
    </row>
    <row r="342" spans="1:2" x14ac:dyDescent="0.25">
      <c r="A342" s="7" t="s">
        <v>1015</v>
      </c>
      <c r="B342" s="7">
        <f>COUNTIFS(Sheet1!C:C,Sheet2!A342)</f>
        <v>2</v>
      </c>
    </row>
    <row r="343" spans="1:2" x14ac:dyDescent="0.25">
      <c r="A343" s="7" t="s">
        <v>4193</v>
      </c>
      <c r="B343" s="7">
        <f>COUNTIFS(Sheet1!C:C,Sheet2!A343)</f>
        <v>1</v>
      </c>
    </row>
    <row r="344" spans="1:2" x14ac:dyDescent="0.25">
      <c r="A344" s="7" t="s">
        <v>324</v>
      </c>
      <c r="B344" s="7">
        <f>COUNTIFS(Sheet1!C:C,Sheet2!A344)</f>
        <v>1</v>
      </c>
    </row>
    <row r="345" spans="1:2" x14ac:dyDescent="0.25">
      <c r="A345" s="7" t="s">
        <v>2495</v>
      </c>
      <c r="B345" s="7">
        <f>COUNTIFS(Sheet1!C:C,Sheet2!A345)</f>
        <v>1</v>
      </c>
    </row>
    <row r="346" spans="1:2" x14ac:dyDescent="0.25">
      <c r="A346" s="7" t="s">
        <v>475</v>
      </c>
      <c r="B346" s="7">
        <f>COUNTIFS(Sheet1!C:C,Sheet2!A346)</f>
        <v>1</v>
      </c>
    </row>
    <row r="347" spans="1:2" x14ac:dyDescent="0.25">
      <c r="A347" s="7" t="s">
        <v>2629</v>
      </c>
      <c r="B347" s="7">
        <f>COUNTIFS(Sheet1!C:C,Sheet2!A347)</f>
        <v>1</v>
      </c>
    </row>
    <row r="348" spans="1:2" x14ac:dyDescent="0.25">
      <c r="A348" s="7" t="s">
        <v>4277</v>
      </c>
      <c r="B348" s="7">
        <f>COUNTIFS(Sheet1!C:C,Sheet2!A348)</f>
        <v>1</v>
      </c>
    </row>
    <row r="349" spans="1:2" x14ac:dyDescent="0.25">
      <c r="A349" s="7" t="s">
        <v>144</v>
      </c>
      <c r="B349" s="7">
        <f>COUNTIFS(Sheet1!C:C,Sheet2!A349)</f>
        <v>1</v>
      </c>
    </row>
    <row r="350" spans="1:2" x14ac:dyDescent="0.25">
      <c r="A350" s="7" t="s">
        <v>1308</v>
      </c>
      <c r="B350" s="7">
        <f>COUNTIFS(Sheet1!C:C,Sheet2!A350)</f>
        <v>1</v>
      </c>
    </row>
    <row r="351" spans="1:2" x14ac:dyDescent="0.25">
      <c r="A351" s="7" t="s">
        <v>3704</v>
      </c>
      <c r="B351" s="7">
        <f>COUNTIFS(Sheet1!C:C,Sheet2!A351)</f>
        <v>2</v>
      </c>
    </row>
    <row r="352" spans="1:2" x14ac:dyDescent="0.25">
      <c r="A352" s="7" t="s">
        <v>1284</v>
      </c>
      <c r="B352" s="7">
        <f>COUNTIFS(Sheet1!C:C,Sheet2!A352)</f>
        <v>1</v>
      </c>
    </row>
    <row r="353" spans="1:2" x14ac:dyDescent="0.25">
      <c r="A353" s="7" t="s">
        <v>2746</v>
      </c>
      <c r="B353" s="7">
        <f>COUNTIFS(Sheet1!C:C,Sheet2!A353)</f>
        <v>1</v>
      </c>
    </row>
    <row r="354" spans="1:2" x14ac:dyDescent="0.25">
      <c r="A354" s="7" t="s">
        <v>998</v>
      </c>
      <c r="B354" s="7">
        <f>COUNTIFS(Sheet1!C:C,Sheet2!A354)</f>
        <v>4</v>
      </c>
    </row>
    <row r="355" spans="1:2" x14ac:dyDescent="0.25">
      <c r="A355" s="7" t="s">
        <v>3712</v>
      </c>
      <c r="B355" s="7">
        <f>COUNTIFS(Sheet1!C:C,Sheet2!A355)</f>
        <v>1</v>
      </c>
    </row>
    <row r="356" spans="1:2" x14ac:dyDescent="0.25">
      <c r="A356" s="7" t="s">
        <v>472</v>
      </c>
      <c r="B356" s="7">
        <f>COUNTIFS(Sheet1!C:C,Sheet2!A356)</f>
        <v>1</v>
      </c>
    </row>
    <row r="357" spans="1:2" x14ac:dyDescent="0.25">
      <c r="A357" s="7" t="s">
        <v>1317</v>
      </c>
      <c r="B357" s="7">
        <f>COUNTIFS(Sheet1!C:C,Sheet2!A357)</f>
        <v>1</v>
      </c>
    </row>
    <row r="358" spans="1:2" x14ac:dyDescent="0.25">
      <c r="A358" s="7" t="s">
        <v>3816</v>
      </c>
      <c r="B358" s="7">
        <f>COUNTIFS(Sheet1!C:C,Sheet2!A358)</f>
        <v>1</v>
      </c>
    </row>
    <row r="359" spans="1:2" x14ac:dyDescent="0.25">
      <c r="A359" s="7" t="s">
        <v>160</v>
      </c>
      <c r="B359" s="7">
        <f>COUNTIFS(Sheet1!C:C,Sheet2!A359)</f>
        <v>1</v>
      </c>
    </row>
    <row r="360" spans="1:2" x14ac:dyDescent="0.25">
      <c r="A360" s="7" t="s">
        <v>429</v>
      </c>
      <c r="B360" s="7">
        <f>COUNTIFS(Sheet1!C:C,Sheet2!A360)</f>
        <v>1</v>
      </c>
    </row>
    <row r="361" spans="1:2" x14ac:dyDescent="0.25">
      <c r="A361" s="7" t="s">
        <v>1884</v>
      </c>
      <c r="B361" s="7">
        <f>COUNTIFS(Sheet1!C:C,Sheet2!A361)</f>
        <v>1</v>
      </c>
    </row>
    <row r="362" spans="1:2" x14ac:dyDescent="0.25">
      <c r="A362" s="7" t="s">
        <v>3803</v>
      </c>
      <c r="B362" s="7">
        <f>COUNTIFS(Sheet1!C:C,Sheet2!A362)</f>
        <v>1</v>
      </c>
    </row>
    <row r="363" spans="1:2" x14ac:dyDescent="0.25">
      <c r="A363" s="7" t="s">
        <v>1342</v>
      </c>
      <c r="B363" s="7">
        <f>COUNTIFS(Sheet1!C:C,Sheet2!A363)</f>
        <v>1</v>
      </c>
    </row>
    <row r="364" spans="1:2" x14ac:dyDescent="0.25">
      <c r="A364" s="7" t="s">
        <v>1324</v>
      </c>
      <c r="B364" s="7">
        <f>COUNTIFS(Sheet1!C:C,Sheet2!A364)</f>
        <v>10</v>
      </c>
    </row>
    <row r="365" spans="1:2" x14ac:dyDescent="0.25">
      <c r="A365" s="7" t="s">
        <v>4030</v>
      </c>
      <c r="B365" s="7">
        <f>COUNTIFS(Sheet1!C:C,Sheet2!A365)</f>
        <v>1</v>
      </c>
    </row>
    <row r="366" spans="1:2" x14ac:dyDescent="0.25">
      <c r="A366" s="7" t="s">
        <v>504</v>
      </c>
      <c r="B366" s="7">
        <f>COUNTIFS(Sheet1!C:C,Sheet2!A366)</f>
        <v>2</v>
      </c>
    </row>
    <row r="367" spans="1:2" x14ac:dyDescent="0.25">
      <c r="A367" s="7" t="s">
        <v>1245</v>
      </c>
      <c r="B367" s="7">
        <f>COUNTIFS(Sheet1!C:C,Sheet2!A367)</f>
        <v>1</v>
      </c>
    </row>
    <row r="368" spans="1:2" x14ac:dyDescent="0.25">
      <c r="A368" s="7" t="s">
        <v>2407</v>
      </c>
      <c r="B368" s="7">
        <f>COUNTIFS(Sheet1!C:C,Sheet2!A368)</f>
        <v>1</v>
      </c>
    </row>
    <row r="369" spans="1:2" x14ac:dyDescent="0.25">
      <c r="A369" s="7" t="s">
        <v>804</v>
      </c>
      <c r="B369" s="7">
        <f>COUNTIFS(Sheet1!C:C,Sheet2!A369)</f>
        <v>1</v>
      </c>
    </row>
    <row r="370" spans="1:2" x14ac:dyDescent="0.25">
      <c r="A370" s="7" t="s">
        <v>4049</v>
      </c>
      <c r="B370" s="7">
        <f>COUNTIFS(Sheet1!C:C,Sheet2!A370)</f>
        <v>1</v>
      </c>
    </row>
    <row r="371" spans="1:2" x14ac:dyDescent="0.25">
      <c r="A371" s="7" t="s">
        <v>4338</v>
      </c>
      <c r="B371" s="7">
        <f>COUNTIFS(Sheet1!C:C,Sheet2!A371)</f>
        <v>1</v>
      </c>
    </row>
    <row r="372" spans="1:2" x14ac:dyDescent="0.25">
      <c r="A372" s="7" t="s">
        <v>2871</v>
      </c>
      <c r="B372" s="7">
        <f>COUNTIFS(Sheet1!C:C,Sheet2!A372)</f>
        <v>1</v>
      </c>
    </row>
    <row r="373" spans="1:2" x14ac:dyDescent="0.25">
      <c r="A373" s="7" t="s">
        <v>2911</v>
      </c>
      <c r="B373" s="7">
        <f>COUNTIFS(Sheet1!C:C,Sheet2!A373)</f>
        <v>1</v>
      </c>
    </row>
    <row r="374" spans="1:2" x14ac:dyDescent="0.25">
      <c r="A374" s="7" t="s">
        <v>206</v>
      </c>
      <c r="B374" s="7">
        <f>COUNTIFS(Sheet1!C:C,Sheet2!A374)</f>
        <v>3</v>
      </c>
    </row>
    <row r="375" spans="1:2" x14ac:dyDescent="0.25">
      <c r="A375" s="7" t="s">
        <v>224</v>
      </c>
      <c r="B375" s="7">
        <f>COUNTIFS(Sheet1!C:C,Sheet2!A375)</f>
        <v>1</v>
      </c>
    </row>
    <row r="376" spans="1:2" x14ac:dyDescent="0.25">
      <c r="A376" s="7" t="s">
        <v>407</v>
      </c>
      <c r="B376" s="7">
        <f>COUNTIFS(Sheet1!C:C,Sheet2!A376)</f>
        <v>1</v>
      </c>
    </row>
    <row r="377" spans="1:2" x14ac:dyDescent="0.25">
      <c r="A377" s="7" t="s">
        <v>3241</v>
      </c>
      <c r="B377" s="7">
        <f>COUNTIFS(Sheet1!C:C,Sheet2!A377)</f>
        <v>1</v>
      </c>
    </row>
    <row r="378" spans="1:2" x14ac:dyDescent="0.25">
      <c r="A378" s="7" t="s">
        <v>4144</v>
      </c>
      <c r="B378" s="7">
        <f>COUNTIFS(Sheet1!C:C,Sheet2!A378)</f>
        <v>1</v>
      </c>
    </row>
    <row r="379" spans="1:2" x14ac:dyDescent="0.25">
      <c r="A379" s="7" t="s">
        <v>2120</v>
      </c>
      <c r="B379" s="7">
        <f>COUNTIFS(Sheet1!C:C,Sheet2!A379)</f>
        <v>1</v>
      </c>
    </row>
    <row r="380" spans="1:2" x14ac:dyDescent="0.25">
      <c r="A380" s="7" t="s">
        <v>174</v>
      </c>
      <c r="B380" s="7">
        <f>COUNTIFS(Sheet1!C:C,Sheet2!A380)</f>
        <v>9</v>
      </c>
    </row>
    <row r="381" spans="1:2" x14ac:dyDescent="0.25">
      <c r="A381" s="7" t="s">
        <v>320</v>
      </c>
      <c r="B381" s="7">
        <f>COUNTIFS(Sheet1!C:C,Sheet2!A381)</f>
        <v>4</v>
      </c>
    </row>
    <row r="382" spans="1:2" x14ac:dyDescent="0.25">
      <c r="A382" s="7" t="s">
        <v>1375</v>
      </c>
      <c r="B382" s="7">
        <f>COUNTIFS(Sheet1!C:C,Sheet2!A382)</f>
        <v>1</v>
      </c>
    </row>
    <row r="383" spans="1:2" x14ac:dyDescent="0.25">
      <c r="A383" s="7" t="s">
        <v>2194</v>
      </c>
      <c r="B383" s="7">
        <f>COUNTIFS(Sheet1!C:C,Sheet2!A383)</f>
        <v>1</v>
      </c>
    </row>
    <row r="384" spans="1:2" x14ac:dyDescent="0.25">
      <c r="A384" s="7" t="s">
        <v>995</v>
      </c>
      <c r="B384" s="7">
        <f>COUNTIFS(Sheet1!C:C,Sheet2!A384)</f>
        <v>1</v>
      </c>
    </row>
    <row r="385" spans="1:2" x14ac:dyDescent="0.25">
      <c r="A385" s="7" t="s">
        <v>2272</v>
      </c>
      <c r="B385" s="7">
        <f>COUNTIFS(Sheet1!C:C,Sheet2!A385)</f>
        <v>1</v>
      </c>
    </row>
    <row r="386" spans="1:2" x14ac:dyDescent="0.25">
      <c r="A386" s="7" t="s">
        <v>1691</v>
      </c>
      <c r="B386" s="7">
        <f>COUNTIFS(Sheet1!C:C,Sheet2!A386)</f>
        <v>1</v>
      </c>
    </row>
    <row r="387" spans="1:2" x14ac:dyDescent="0.25">
      <c r="A387" s="7" t="s">
        <v>3500</v>
      </c>
      <c r="B387" s="7">
        <f>COUNTIFS(Sheet1!C:C,Sheet2!A387)</f>
        <v>1</v>
      </c>
    </row>
    <row r="388" spans="1:2" x14ac:dyDescent="0.25">
      <c r="A388" s="7" t="s">
        <v>1116</v>
      </c>
      <c r="B388" s="7">
        <f>COUNTIFS(Sheet1!C:C,Sheet2!A388)</f>
        <v>1</v>
      </c>
    </row>
    <row r="389" spans="1:2" x14ac:dyDescent="0.25">
      <c r="A389" s="7" t="s">
        <v>842</v>
      </c>
      <c r="B389" s="7">
        <f>COUNTIFS(Sheet1!C:C,Sheet2!A389)</f>
        <v>1</v>
      </c>
    </row>
    <row r="390" spans="1:2" x14ac:dyDescent="0.25">
      <c r="A390" s="7" t="s">
        <v>2033</v>
      </c>
      <c r="B390" s="7">
        <f>COUNTIFS(Sheet1!C:C,Sheet2!A390)</f>
        <v>1</v>
      </c>
    </row>
    <row r="391" spans="1:2" x14ac:dyDescent="0.25">
      <c r="A391" s="7" t="s">
        <v>1136</v>
      </c>
      <c r="B391" s="7">
        <f>COUNTIFS(Sheet1!C:C,Sheet2!A391)</f>
        <v>1</v>
      </c>
    </row>
    <row r="392" spans="1:2" x14ac:dyDescent="0.25">
      <c r="A392" s="7" t="s">
        <v>2989</v>
      </c>
      <c r="B392" s="7">
        <f>COUNTIFS(Sheet1!C:C,Sheet2!A392)</f>
        <v>1</v>
      </c>
    </row>
    <row r="393" spans="1:2" x14ac:dyDescent="0.25">
      <c r="A393" s="7" t="s">
        <v>1067</v>
      </c>
      <c r="B393" s="7">
        <f>COUNTIFS(Sheet1!C:C,Sheet2!A393)</f>
        <v>3</v>
      </c>
    </row>
    <row r="394" spans="1:2" x14ac:dyDescent="0.25">
      <c r="A394" s="7" t="s">
        <v>282</v>
      </c>
      <c r="B394" s="7">
        <f>COUNTIFS(Sheet1!C:C,Sheet2!A394)</f>
        <v>1</v>
      </c>
    </row>
    <row r="395" spans="1:2" x14ac:dyDescent="0.25">
      <c r="A395" s="7" t="s">
        <v>2578</v>
      </c>
      <c r="B395" s="7">
        <f>COUNTIFS(Sheet1!C:C,Sheet2!A395)</f>
        <v>1</v>
      </c>
    </row>
    <row r="396" spans="1:2" x14ac:dyDescent="0.25">
      <c r="A396" s="7" t="s">
        <v>3797</v>
      </c>
      <c r="B396" s="7">
        <f>COUNTIFS(Sheet1!C:C,Sheet2!A396)</f>
        <v>1</v>
      </c>
    </row>
    <row r="397" spans="1:2" x14ac:dyDescent="0.25">
      <c r="A397" s="7" t="s">
        <v>1988</v>
      </c>
      <c r="B397" s="7">
        <f>COUNTIFS(Sheet1!C:C,Sheet2!A397)</f>
        <v>1</v>
      </c>
    </row>
    <row r="398" spans="1:2" x14ac:dyDescent="0.25">
      <c r="A398" s="7" t="s">
        <v>4175</v>
      </c>
      <c r="B398" s="7">
        <f>COUNTIFS(Sheet1!C:C,Sheet2!A398)</f>
        <v>1</v>
      </c>
    </row>
    <row r="399" spans="1:2" x14ac:dyDescent="0.25">
      <c r="A399" s="7" t="s">
        <v>2102</v>
      </c>
      <c r="B399" s="7">
        <f>COUNTIFS(Sheet1!C:C,Sheet2!A399)</f>
        <v>3</v>
      </c>
    </row>
    <row r="400" spans="1:2" x14ac:dyDescent="0.25">
      <c r="A400" s="7" t="s">
        <v>925</v>
      </c>
      <c r="B400" s="7">
        <f>COUNTIFS(Sheet1!C:C,Sheet2!A400)</f>
        <v>3</v>
      </c>
    </row>
    <row r="401" spans="1:2" x14ac:dyDescent="0.25">
      <c r="A401" s="7" t="s">
        <v>3487</v>
      </c>
      <c r="B401" s="7">
        <f>COUNTIFS(Sheet1!C:C,Sheet2!A401)</f>
        <v>1</v>
      </c>
    </row>
    <row r="402" spans="1:2" x14ac:dyDescent="0.25">
      <c r="A402" s="7" t="s">
        <v>3143</v>
      </c>
      <c r="B402" s="7">
        <f>COUNTIFS(Sheet1!C:C,Sheet2!A402)</f>
        <v>1</v>
      </c>
    </row>
    <row r="403" spans="1:2" x14ac:dyDescent="0.25">
      <c r="A403" s="7" t="s">
        <v>1257</v>
      </c>
      <c r="B403" s="7">
        <f>COUNTIFS(Sheet1!C:C,Sheet2!A403)</f>
        <v>2</v>
      </c>
    </row>
    <row r="404" spans="1:2" x14ac:dyDescent="0.25">
      <c r="A404" s="7" t="s">
        <v>3873</v>
      </c>
      <c r="B404" s="7">
        <f>COUNTIFS(Sheet1!C:C,Sheet2!A404)</f>
        <v>1</v>
      </c>
    </row>
    <row r="405" spans="1:2" x14ac:dyDescent="0.25">
      <c r="A405" s="7" t="s">
        <v>3251</v>
      </c>
      <c r="B405" s="7">
        <f>COUNTIFS(Sheet1!C:C,Sheet2!A405)</f>
        <v>1</v>
      </c>
    </row>
    <row r="406" spans="1:2" x14ac:dyDescent="0.25">
      <c r="A406" s="7" t="s">
        <v>3458</v>
      </c>
      <c r="B406" s="7">
        <f>COUNTIFS(Sheet1!C:C,Sheet2!A406)</f>
        <v>1</v>
      </c>
    </row>
    <row r="407" spans="1:2" x14ac:dyDescent="0.25">
      <c r="A407" s="7" t="s">
        <v>613</v>
      </c>
      <c r="B407" s="7">
        <f>COUNTIFS(Sheet1!C:C,Sheet2!A407)</f>
        <v>1</v>
      </c>
    </row>
    <row r="408" spans="1:2" x14ac:dyDescent="0.25">
      <c r="A408" s="7" t="s">
        <v>4238</v>
      </c>
      <c r="B408" s="7">
        <f>COUNTIFS(Sheet1!C:C,Sheet2!A408)</f>
        <v>1</v>
      </c>
    </row>
    <row r="409" spans="1:2" x14ac:dyDescent="0.25">
      <c r="A409" s="7" t="s">
        <v>1291</v>
      </c>
      <c r="B409" s="7">
        <f>COUNTIFS(Sheet1!C:C,Sheet2!A409)</f>
        <v>1</v>
      </c>
    </row>
    <row r="410" spans="1:2" x14ac:dyDescent="0.25">
      <c r="A410" s="7" t="s">
        <v>1528</v>
      </c>
      <c r="B410" s="7">
        <f>COUNTIFS(Sheet1!C:C,Sheet2!A410)</f>
        <v>1</v>
      </c>
    </row>
    <row r="411" spans="1:2" x14ac:dyDescent="0.25">
      <c r="A411" s="7" t="s">
        <v>2258</v>
      </c>
      <c r="B411" s="7">
        <f>COUNTIFS(Sheet1!C:C,Sheet2!A411)</f>
        <v>2</v>
      </c>
    </row>
    <row r="412" spans="1:2" x14ac:dyDescent="0.25">
      <c r="A412" s="7" t="s">
        <v>405</v>
      </c>
      <c r="B412" s="7">
        <f>COUNTIFS(Sheet1!C:C,Sheet2!A412)</f>
        <v>2</v>
      </c>
    </row>
    <row r="413" spans="1:2" x14ac:dyDescent="0.25">
      <c r="A413" s="7" t="s">
        <v>2533</v>
      </c>
      <c r="B413" s="7">
        <f>COUNTIFS(Sheet1!C:C,Sheet2!A413)</f>
        <v>1</v>
      </c>
    </row>
    <row r="414" spans="1:2" x14ac:dyDescent="0.25">
      <c r="A414" s="7" t="s">
        <v>2131</v>
      </c>
      <c r="B414" s="7">
        <f>COUNTIFS(Sheet1!C:C,Sheet2!A414)</f>
        <v>1</v>
      </c>
    </row>
    <row r="415" spans="1:2" x14ac:dyDescent="0.25">
      <c r="A415" s="7" t="s">
        <v>2275</v>
      </c>
      <c r="B415" s="7">
        <f>COUNTIFS(Sheet1!C:C,Sheet2!A415)</f>
        <v>1</v>
      </c>
    </row>
    <row r="416" spans="1:2" x14ac:dyDescent="0.25">
      <c r="A416" s="7" t="s">
        <v>2170</v>
      </c>
      <c r="B416" s="7">
        <f>COUNTIFS(Sheet1!C:C,Sheet2!A416)</f>
        <v>1</v>
      </c>
    </row>
    <row r="417" spans="1:2" x14ac:dyDescent="0.25">
      <c r="A417" s="7" t="s">
        <v>2750</v>
      </c>
      <c r="B417" s="7">
        <f>COUNTIFS(Sheet1!C:C,Sheet2!A417)</f>
        <v>1</v>
      </c>
    </row>
    <row r="418" spans="1:2" x14ac:dyDescent="0.25">
      <c r="A418" s="7" t="s">
        <v>1229</v>
      </c>
      <c r="B418" s="7">
        <f>COUNTIFS(Sheet1!C:C,Sheet2!A418)</f>
        <v>1</v>
      </c>
    </row>
    <row r="419" spans="1:2" x14ac:dyDescent="0.25">
      <c r="A419" s="7" t="s">
        <v>1277</v>
      </c>
      <c r="B419" s="7">
        <f>COUNTIFS(Sheet1!C:C,Sheet2!A419)</f>
        <v>2</v>
      </c>
    </row>
    <row r="420" spans="1:2" x14ac:dyDescent="0.25">
      <c r="A420" s="7" t="s">
        <v>376</v>
      </c>
      <c r="B420" s="7">
        <f>COUNTIFS(Sheet1!C:C,Sheet2!A420)</f>
        <v>5</v>
      </c>
    </row>
    <row r="421" spans="1:2" x14ac:dyDescent="0.25">
      <c r="A421" s="7" t="s">
        <v>3593</v>
      </c>
      <c r="B421" s="7">
        <f>COUNTIFS(Sheet1!C:C,Sheet2!A421)</f>
        <v>1</v>
      </c>
    </row>
    <row r="422" spans="1:2" x14ac:dyDescent="0.25">
      <c r="A422" s="7" t="s">
        <v>2766</v>
      </c>
      <c r="B422" s="7">
        <f>COUNTIFS(Sheet1!C:C,Sheet2!A422)</f>
        <v>1</v>
      </c>
    </row>
    <row r="423" spans="1:2" x14ac:dyDescent="0.25">
      <c r="A423" s="7" t="s">
        <v>3497</v>
      </c>
      <c r="B423" s="7">
        <f>COUNTIFS(Sheet1!C:C,Sheet2!A423)</f>
        <v>1</v>
      </c>
    </row>
    <row r="424" spans="1:2" x14ac:dyDescent="0.25">
      <c r="A424" s="7" t="s">
        <v>609</v>
      </c>
      <c r="B424" s="7">
        <f>COUNTIFS(Sheet1!C:C,Sheet2!A424)</f>
        <v>7</v>
      </c>
    </row>
    <row r="425" spans="1:2" x14ac:dyDescent="0.25">
      <c r="A425" s="7" t="s">
        <v>1739</v>
      </c>
      <c r="B425" s="7">
        <f>COUNTIFS(Sheet1!C:C,Sheet2!A425)</f>
        <v>4</v>
      </c>
    </row>
    <row r="426" spans="1:2" x14ac:dyDescent="0.25">
      <c r="A426" s="7" t="s">
        <v>3930</v>
      </c>
      <c r="B426" s="7">
        <f>COUNTIFS(Sheet1!C:C,Sheet2!A426)</f>
        <v>1</v>
      </c>
    </row>
    <row r="427" spans="1:2" x14ac:dyDescent="0.25">
      <c r="A427" s="7" t="s">
        <v>770</v>
      </c>
      <c r="B427" s="7">
        <f>COUNTIFS(Sheet1!C:C,Sheet2!A427)</f>
        <v>1</v>
      </c>
    </row>
    <row r="428" spans="1:2" x14ac:dyDescent="0.25">
      <c r="A428" s="7" t="s">
        <v>2282</v>
      </c>
      <c r="B428" s="7">
        <f>COUNTIFS(Sheet1!C:C,Sheet2!A428)</f>
        <v>1</v>
      </c>
    </row>
    <row r="429" spans="1:2" x14ac:dyDescent="0.25">
      <c r="A429" s="7" t="s">
        <v>2213</v>
      </c>
      <c r="B429" s="7">
        <f>COUNTIFS(Sheet1!C:C,Sheet2!A429)</f>
        <v>1</v>
      </c>
    </row>
    <row r="430" spans="1:2" x14ac:dyDescent="0.25">
      <c r="A430" s="7" t="s">
        <v>1477</v>
      </c>
      <c r="B430" s="7">
        <f>COUNTIFS(Sheet1!C:C,Sheet2!A430)</f>
        <v>1</v>
      </c>
    </row>
    <row r="431" spans="1:2" x14ac:dyDescent="0.25">
      <c r="A431" s="7" t="s">
        <v>4302</v>
      </c>
      <c r="B431" s="7">
        <f>COUNTIFS(Sheet1!C:C,Sheet2!A431)</f>
        <v>1</v>
      </c>
    </row>
    <row r="432" spans="1:2" x14ac:dyDescent="0.25">
      <c r="A432" s="7" t="s">
        <v>214</v>
      </c>
      <c r="B432" s="7">
        <f>COUNTIFS(Sheet1!C:C,Sheet2!A432)</f>
        <v>1</v>
      </c>
    </row>
    <row r="433" spans="1:2" x14ac:dyDescent="0.25">
      <c r="A433" s="7" t="s">
        <v>1423</v>
      </c>
      <c r="B433" s="7">
        <f>COUNTIFS(Sheet1!C:C,Sheet2!A433)</f>
        <v>1</v>
      </c>
    </row>
    <row r="434" spans="1:2" x14ac:dyDescent="0.25">
      <c r="A434" s="7" t="s">
        <v>920</v>
      </c>
      <c r="B434" s="7">
        <f>COUNTIFS(Sheet1!C:C,Sheet2!A434)</f>
        <v>1</v>
      </c>
    </row>
    <row r="435" spans="1:2" x14ac:dyDescent="0.25">
      <c r="A435" s="7" t="s">
        <v>2354</v>
      </c>
      <c r="B435" s="7">
        <f>COUNTIFS(Sheet1!C:C,Sheet2!A435)</f>
        <v>1</v>
      </c>
    </row>
    <row r="436" spans="1:2" x14ac:dyDescent="0.25">
      <c r="A436" s="7" t="s">
        <v>4221</v>
      </c>
      <c r="B436" s="7">
        <f>COUNTIFS(Sheet1!C:C,Sheet2!A436)</f>
        <v>1</v>
      </c>
    </row>
    <row r="437" spans="1:2" x14ac:dyDescent="0.25">
      <c r="A437" s="7" t="s">
        <v>4215</v>
      </c>
      <c r="B437" s="7">
        <f>COUNTIFS(Sheet1!C:C,Sheet2!A437)</f>
        <v>1</v>
      </c>
    </row>
    <row r="438" spans="1:2" x14ac:dyDescent="0.25">
      <c r="A438" s="7" t="s">
        <v>3059</v>
      </c>
      <c r="B438" s="7">
        <f>COUNTIFS(Sheet1!C:C,Sheet2!A438)</f>
        <v>1</v>
      </c>
    </row>
    <row r="439" spans="1:2" x14ac:dyDescent="0.25">
      <c r="A439" s="7" t="s">
        <v>123</v>
      </c>
      <c r="B439" s="7">
        <f>COUNTIFS(Sheet1!C:C,Sheet2!A439)</f>
        <v>1</v>
      </c>
    </row>
    <row r="440" spans="1:2" x14ac:dyDescent="0.25">
      <c r="A440" s="7" t="s">
        <v>2006</v>
      </c>
      <c r="B440" s="7">
        <f>COUNTIFS(Sheet1!C:C,Sheet2!A440)</f>
        <v>1</v>
      </c>
    </row>
    <row r="441" spans="1:2" x14ac:dyDescent="0.25">
      <c r="A441" s="7" t="s">
        <v>2649</v>
      </c>
      <c r="B441" s="7">
        <f>COUNTIFS(Sheet1!C:C,Sheet2!A441)</f>
        <v>1</v>
      </c>
    </row>
    <row r="442" spans="1:2" x14ac:dyDescent="0.25">
      <c r="A442" s="7" t="s">
        <v>4306</v>
      </c>
      <c r="B442" s="7">
        <f>COUNTIFS(Sheet1!C:C,Sheet2!A442)</f>
        <v>1</v>
      </c>
    </row>
    <row r="443" spans="1:2" x14ac:dyDescent="0.25">
      <c r="A443" s="7" t="s">
        <v>91</v>
      </c>
      <c r="B443" s="7">
        <f>COUNTIFS(Sheet1!C:C,Sheet2!A443)</f>
        <v>16</v>
      </c>
    </row>
    <row r="444" spans="1:2" x14ac:dyDescent="0.25">
      <c r="A444" s="7" t="s">
        <v>3878</v>
      </c>
      <c r="B444" s="7">
        <f>COUNTIFS(Sheet1!C:C,Sheet2!A444)</f>
        <v>1</v>
      </c>
    </row>
    <row r="445" spans="1:2" x14ac:dyDescent="0.25">
      <c r="A445" s="7" t="s">
        <v>3296</v>
      </c>
      <c r="B445" s="7">
        <f>COUNTIFS(Sheet1!C:C,Sheet2!A445)</f>
        <v>1</v>
      </c>
    </row>
    <row r="446" spans="1:2" x14ac:dyDescent="0.25">
      <c r="A446" s="7" t="s">
        <v>1612</v>
      </c>
      <c r="B446" s="7">
        <f>COUNTIFS(Sheet1!C:C,Sheet2!A446)</f>
        <v>1</v>
      </c>
    </row>
    <row r="447" spans="1:2" x14ac:dyDescent="0.25">
      <c r="A447" s="7" t="s">
        <v>1959</v>
      </c>
      <c r="B447" s="7">
        <f>COUNTIFS(Sheet1!C:C,Sheet2!A447)</f>
        <v>1</v>
      </c>
    </row>
    <row r="448" spans="1:2" x14ac:dyDescent="0.25">
      <c r="A448" s="7" t="s">
        <v>3608</v>
      </c>
      <c r="B448" s="7">
        <f>COUNTIFS(Sheet1!C:C,Sheet2!A448)</f>
        <v>1</v>
      </c>
    </row>
    <row r="449" spans="1:2" x14ac:dyDescent="0.25">
      <c r="A449" s="7" t="s">
        <v>4184</v>
      </c>
      <c r="B449" s="7">
        <f>COUNTIFS(Sheet1!C:C,Sheet2!A449)</f>
        <v>1</v>
      </c>
    </row>
    <row r="450" spans="1:2" x14ac:dyDescent="0.25">
      <c r="A450" s="7" t="s">
        <v>364</v>
      </c>
      <c r="B450" s="7">
        <f>COUNTIFS(Sheet1!C:C,Sheet2!A450)</f>
        <v>1</v>
      </c>
    </row>
    <row r="451" spans="1:2" x14ac:dyDescent="0.25">
      <c r="A451" s="7" t="s">
        <v>1500</v>
      </c>
      <c r="B451" s="7">
        <f>COUNTIFS(Sheet1!C:C,Sheet2!A451)</f>
        <v>1</v>
      </c>
    </row>
    <row r="452" spans="1:2" x14ac:dyDescent="0.25">
      <c r="A452" s="7" t="s">
        <v>490</v>
      </c>
      <c r="B452" s="7">
        <f>COUNTIFS(Sheet1!C:C,Sheet2!A452)</f>
        <v>16</v>
      </c>
    </row>
    <row r="453" spans="1:2" x14ac:dyDescent="0.25">
      <c r="A453" s="7" t="s">
        <v>2507</v>
      </c>
      <c r="B453" s="7">
        <f>COUNTIFS(Sheet1!C:C,Sheet2!A453)</f>
        <v>1</v>
      </c>
    </row>
    <row r="454" spans="1:2" x14ac:dyDescent="0.25">
      <c r="A454" s="7" t="s">
        <v>3910</v>
      </c>
      <c r="B454" s="7">
        <f>COUNTIFS(Sheet1!C:C,Sheet2!A454)</f>
        <v>2</v>
      </c>
    </row>
    <row r="455" spans="1:2" x14ac:dyDescent="0.25">
      <c r="A455" s="7" t="s">
        <v>4234</v>
      </c>
      <c r="B455" s="7">
        <f>COUNTIFS(Sheet1!C:C,Sheet2!A455)</f>
        <v>1</v>
      </c>
    </row>
    <row r="456" spans="1:2" x14ac:dyDescent="0.25">
      <c r="A456" s="7" t="s">
        <v>3835</v>
      </c>
      <c r="B456" s="7">
        <f>COUNTIFS(Sheet1!C:C,Sheet2!A456)</f>
        <v>4</v>
      </c>
    </row>
    <row r="457" spans="1:2" x14ac:dyDescent="0.25">
      <c r="A457" s="7" t="s">
        <v>3986</v>
      </c>
      <c r="B457" s="7">
        <f>COUNTIFS(Sheet1!C:C,Sheet2!A457)</f>
        <v>1</v>
      </c>
    </row>
    <row r="458" spans="1:2" x14ac:dyDescent="0.25">
      <c r="A458" s="7" t="s">
        <v>4157</v>
      </c>
      <c r="B458" s="7">
        <f>COUNTIFS(Sheet1!C:C,Sheet2!A458)</f>
        <v>2</v>
      </c>
    </row>
    <row r="459" spans="1:2" x14ac:dyDescent="0.25">
      <c r="A459" s="7" t="s">
        <v>1661</v>
      </c>
      <c r="B459" s="7">
        <f>COUNTIFS(Sheet1!C:C,Sheet2!A459)</f>
        <v>1</v>
      </c>
    </row>
    <row r="460" spans="1:2" x14ac:dyDescent="0.25">
      <c r="A460" s="7" t="s">
        <v>4133</v>
      </c>
      <c r="B460" s="7">
        <f>COUNTIFS(Sheet1!C:C,Sheet2!A460)</f>
        <v>1</v>
      </c>
    </row>
    <row r="461" spans="1:2" x14ac:dyDescent="0.25">
      <c r="A461" s="7" t="s">
        <v>2071</v>
      </c>
      <c r="B461" s="7">
        <f>COUNTIFS(Sheet1!C:C,Sheet2!A461)</f>
        <v>1</v>
      </c>
    </row>
    <row r="462" spans="1:2" x14ac:dyDescent="0.25">
      <c r="A462" s="7" t="s">
        <v>1579</v>
      </c>
      <c r="B462" s="7">
        <f>COUNTIFS(Sheet1!C:C,Sheet2!A462)</f>
        <v>2</v>
      </c>
    </row>
    <row r="463" spans="1:2" x14ac:dyDescent="0.25">
      <c r="A463" s="7" t="s">
        <v>826</v>
      </c>
      <c r="B463" s="7">
        <f>COUNTIFS(Sheet1!C:C,Sheet2!A463)</f>
        <v>1</v>
      </c>
    </row>
    <row r="464" spans="1:2" x14ac:dyDescent="0.25">
      <c r="A464" s="7" t="s">
        <v>270</v>
      </c>
      <c r="B464" s="7">
        <f>COUNTIFS(Sheet1!C:C,Sheet2!A464)</f>
        <v>1</v>
      </c>
    </row>
    <row r="465" spans="1:2" x14ac:dyDescent="0.25">
      <c r="A465" s="7" t="s">
        <v>2398</v>
      </c>
      <c r="B465" s="7">
        <f>COUNTIFS(Sheet1!C:C,Sheet2!A465)</f>
        <v>1</v>
      </c>
    </row>
    <row r="466" spans="1:2" x14ac:dyDescent="0.25">
      <c r="A466" s="7" t="s">
        <v>2074</v>
      </c>
      <c r="B466" s="7">
        <f>COUNTIFS(Sheet1!C:C,Sheet2!A466)</f>
        <v>1</v>
      </c>
    </row>
    <row r="467" spans="1:2" x14ac:dyDescent="0.25">
      <c r="A467" s="7" t="s">
        <v>1945</v>
      </c>
      <c r="B467" s="7">
        <f>COUNTIFS(Sheet1!C:C,Sheet2!A467)</f>
        <v>1</v>
      </c>
    </row>
    <row r="468" spans="1:2" x14ac:dyDescent="0.25">
      <c r="A468" s="7" t="s">
        <v>2664</v>
      </c>
      <c r="B468" s="7">
        <f>COUNTIFS(Sheet1!C:C,Sheet2!A468)</f>
        <v>1</v>
      </c>
    </row>
    <row r="469" spans="1:2" x14ac:dyDescent="0.25">
      <c r="A469" s="7" t="s">
        <v>217</v>
      </c>
      <c r="B469" s="7">
        <f>COUNTIFS(Sheet1!C:C,Sheet2!A469)</f>
        <v>1</v>
      </c>
    </row>
    <row r="470" spans="1:2" x14ac:dyDescent="0.25">
      <c r="A470" s="7" t="s">
        <v>3165</v>
      </c>
      <c r="B470" s="7">
        <f>COUNTIFS(Sheet1!C:C,Sheet2!A470)</f>
        <v>1</v>
      </c>
    </row>
    <row r="471" spans="1:2" x14ac:dyDescent="0.25">
      <c r="A471" s="7" t="s">
        <v>1591</v>
      </c>
      <c r="B471" s="7">
        <f>COUNTIFS(Sheet1!C:C,Sheet2!A471)</f>
        <v>1</v>
      </c>
    </row>
    <row r="472" spans="1:2" x14ac:dyDescent="0.25">
      <c r="A472" s="7" t="s">
        <v>2261</v>
      </c>
      <c r="B472" s="7">
        <f>COUNTIFS(Sheet1!C:C,Sheet2!A472)</f>
        <v>1</v>
      </c>
    </row>
    <row r="473" spans="1:2" x14ac:dyDescent="0.25">
      <c r="A473" s="7" t="s">
        <v>3471</v>
      </c>
      <c r="B473" s="7">
        <f>COUNTIFS(Sheet1!C:C,Sheet2!A473)</f>
        <v>1</v>
      </c>
    </row>
    <row r="474" spans="1:2" x14ac:dyDescent="0.25">
      <c r="A474" s="7" t="s">
        <v>2996</v>
      </c>
      <c r="B474" s="7">
        <f>COUNTIFS(Sheet1!C:C,Sheet2!A474)</f>
        <v>1</v>
      </c>
    </row>
    <row r="475" spans="1:2" x14ac:dyDescent="0.25">
      <c r="A475" s="7" t="s">
        <v>1378</v>
      </c>
      <c r="B475" s="7">
        <f>COUNTIFS(Sheet1!C:C,Sheet2!A475)</f>
        <v>1</v>
      </c>
    </row>
    <row r="476" spans="1:2" x14ac:dyDescent="0.25">
      <c r="A476" s="7" t="s">
        <v>907</v>
      </c>
      <c r="B476" s="7">
        <f>COUNTIFS(Sheet1!C:C,Sheet2!A476)</f>
        <v>1</v>
      </c>
    </row>
    <row r="477" spans="1:2" x14ac:dyDescent="0.25">
      <c r="A477" s="7" t="s">
        <v>1633</v>
      </c>
      <c r="B477" s="7">
        <f>COUNTIFS(Sheet1!C:C,Sheet2!A477)</f>
        <v>1</v>
      </c>
    </row>
    <row r="478" spans="1:2" x14ac:dyDescent="0.25">
      <c r="A478" s="7" t="s">
        <v>3437</v>
      </c>
      <c r="B478" s="7">
        <f>COUNTIFS(Sheet1!C:C,Sheet2!A478)</f>
        <v>1</v>
      </c>
    </row>
    <row r="479" spans="1:2" x14ac:dyDescent="0.25">
      <c r="A479" s="7" t="s">
        <v>732</v>
      </c>
      <c r="B479" s="7">
        <f>COUNTIFS(Sheet1!C:C,Sheet2!A479)</f>
        <v>1</v>
      </c>
    </row>
    <row r="480" spans="1:2" x14ac:dyDescent="0.25">
      <c r="A480" s="7" t="s">
        <v>3286</v>
      </c>
      <c r="B480" s="7">
        <f>COUNTIFS(Sheet1!C:C,Sheet2!A480)</f>
        <v>1</v>
      </c>
    </row>
    <row r="481" spans="1:2" x14ac:dyDescent="0.25">
      <c r="A481" s="7" t="s">
        <v>1693</v>
      </c>
      <c r="B481" s="7">
        <f>COUNTIFS(Sheet1!C:C,Sheet2!A481)</f>
        <v>1</v>
      </c>
    </row>
    <row r="482" spans="1:2" x14ac:dyDescent="0.25">
      <c r="A482" s="7" t="s">
        <v>2412</v>
      </c>
      <c r="B482" s="7">
        <f>COUNTIFS(Sheet1!C:C,Sheet2!A482)</f>
        <v>1</v>
      </c>
    </row>
    <row r="483" spans="1:2" x14ac:dyDescent="0.25">
      <c r="A483" s="7" t="s">
        <v>1891</v>
      </c>
      <c r="B483" s="7">
        <f>COUNTIFS(Sheet1!C:C,Sheet2!A483)</f>
        <v>2</v>
      </c>
    </row>
    <row r="484" spans="1:2" x14ac:dyDescent="0.25">
      <c r="A484" s="7" t="s">
        <v>73</v>
      </c>
      <c r="B484" s="7">
        <f>COUNTIFS(Sheet1!C:C,Sheet2!A484)</f>
        <v>1</v>
      </c>
    </row>
    <row r="485" spans="1:2" x14ac:dyDescent="0.25">
      <c r="A485" s="7" t="s">
        <v>1303</v>
      </c>
      <c r="B485" s="7">
        <f>COUNTIFS(Sheet1!C:C,Sheet2!A485)</f>
        <v>1</v>
      </c>
    </row>
    <row r="486" spans="1:2" x14ac:dyDescent="0.25">
      <c r="A486" s="7" t="s">
        <v>259</v>
      </c>
      <c r="B486" s="7">
        <f>COUNTIFS(Sheet1!C:C,Sheet2!A486)</f>
        <v>1</v>
      </c>
    </row>
    <row r="487" spans="1:2" x14ac:dyDescent="0.25">
      <c r="A487" s="7" t="s">
        <v>1992</v>
      </c>
      <c r="B487" s="7">
        <f>COUNTIFS(Sheet1!C:C,Sheet2!A487)</f>
        <v>1</v>
      </c>
    </row>
    <row r="488" spans="1:2" x14ac:dyDescent="0.25">
      <c r="A488" s="7" t="s">
        <v>3980</v>
      </c>
      <c r="B488" s="7">
        <f>COUNTIFS(Sheet1!C:C,Sheet2!A488)</f>
        <v>1</v>
      </c>
    </row>
    <row r="489" spans="1:2" x14ac:dyDescent="0.25">
      <c r="A489" s="7" t="s">
        <v>3548</v>
      </c>
      <c r="B489" s="7">
        <f>COUNTIFS(Sheet1!C:C,Sheet2!A489)</f>
        <v>1</v>
      </c>
    </row>
    <row r="490" spans="1:2" x14ac:dyDescent="0.25">
      <c r="A490" s="7" t="s">
        <v>3560</v>
      </c>
      <c r="B490" s="7">
        <f>COUNTIFS(Sheet1!C:C,Sheet2!A490)</f>
        <v>1</v>
      </c>
    </row>
    <row r="491" spans="1:2" x14ac:dyDescent="0.25">
      <c r="A491" s="7" t="s">
        <v>2463</v>
      </c>
      <c r="B491" s="7">
        <f>COUNTIFS(Sheet1!C:C,Sheet2!A491)</f>
        <v>2</v>
      </c>
    </row>
    <row r="492" spans="1:2" x14ac:dyDescent="0.25">
      <c r="A492" s="7" t="s">
        <v>793</v>
      </c>
      <c r="B492" s="7">
        <f>COUNTIFS(Sheet1!C:C,Sheet2!A492)</f>
        <v>1</v>
      </c>
    </row>
    <row r="493" spans="1:2" x14ac:dyDescent="0.25">
      <c r="A493" s="7" t="s">
        <v>3509</v>
      </c>
      <c r="B493" s="7">
        <f>COUNTIFS(Sheet1!C:C,Sheet2!A493)</f>
        <v>1</v>
      </c>
    </row>
    <row r="494" spans="1:2" x14ac:dyDescent="0.25">
      <c r="A494" s="7" t="s">
        <v>673</v>
      </c>
      <c r="B494" s="7">
        <f>COUNTIFS(Sheet1!C:C,Sheet2!A494)</f>
        <v>2</v>
      </c>
    </row>
    <row r="495" spans="1:2" x14ac:dyDescent="0.25">
      <c r="A495" s="7" t="s">
        <v>3676</v>
      </c>
      <c r="B495" s="7">
        <f>COUNTIFS(Sheet1!C:C,Sheet2!A495)</f>
        <v>1</v>
      </c>
    </row>
    <row r="496" spans="1:2" x14ac:dyDescent="0.25">
      <c r="A496" s="7" t="s">
        <v>1834</v>
      </c>
      <c r="B496" s="7">
        <f>COUNTIFS(Sheet1!C:C,Sheet2!A496)</f>
        <v>1</v>
      </c>
    </row>
    <row r="497" spans="1:2" x14ac:dyDescent="0.25">
      <c r="A497" s="7" t="s">
        <v>1018</v>
      </c>
      <c r="B497" s="7">
        <f>COUNTIFS(Sheet1!C:C,Sheet2!A497)</f>
        <v>1</v>
      </c>
    </row>
    <row r="498" spans="1:2" x14ac:dyDescent="0.25">
      <c r="A498" s="7" t="s">
        <v>2123</v>
      </c>
      <c r="B498" s="7">
        <f>COUNTIFS(Sheet1!C:C,Sheet2!A498)</f>
        <v>1</v>
      </c>
    </row>
    <row r="499" spans="1:2" x14ac:dyDescent="0.25">
      <c r="A499" s="7" t="s">
        <v>401</v>
      </c>
      <c r="B499" s="7">
        <f>COUNTIFS(Sheet1!C:C,Sheet2!A499)</f>
        <v>1</v>
      </c>
    </row>
    <row r="500" spans="1:2" x14ac:dyDescent="0.25">
      <c r="A500" s="7" t="s">
        <v>515</v>
      </c>
      <c r="B500" s="7">
        <f>COUNTIFS(Sheet1!C:C,Sheet2!A500)</f>
        <v>2</v>
      </c>
    </row>
    <row r="501" spans="1:2" x14ac:dyDescent="0.25">
      <c r="A501" s="7" t="s">
        <v>1288</v>
      </c>
      <c r="B501" s="7">
        <f>COUNTIFS(Sheet1!C:C,Sheet2!A501)</f>
        <v>1</v>
      </c>
    </row>
    <row r="502" spans="1:2" x14ac:dyDescent="0.25">
      <c r="A502" s="7" t="s">
        <v>601</v>
      </c>
      <c r="B502" s="7">
        <f>COUNTIFS(Sheet1!C:C,Sheet2!A502)</f>
        <v>1</v>
      </c>
    </row>
    <row r="503" spans="1:2" x14ac:dyDescent="0.25">
      <c r="A503" s="7" t="s">
        <v>2481</v>
      </c>
      <c r="B503" s="7">
        <f>COUNTIFS(Sheet1!C:C,Sheet2!A503)</f>
        <v>1</v>
      </c>
    </row>
    <row r="504" spans="1:2" x14ac:dyDescent="0.25">
      <c r="A504" s="7" t="s">
        <v>2717</v>
      </c>
      <c r="B504" s="7">
        <f>COUNTIFS(Sheet1!C:C,Sheet2!A504)</f>
        <v>1</v>
      </c>
    </row>
    <row r="505" spans="1:2" x14ac:dyDescent="0.25">
      <c r="A505" s="7" t="s">
        <v>3416</v>
      </c>
      <c r="B505" s="7">
        <f>COUNTIFS(Sheet1!C:C,Sheet2!A505)</f>
        <v>1</v>
      </c>
    </row>
    <row r="506" spans="1:2" x14ac:dyDescent="0.25">
      <c r="A506" s="7" t="s">
        <v>2858</v>
      </c>
      <c r="B506" s="7">
        <f>COUNTIFS(Sheet1!C:C,Sheet2!A506)</f>
        <v>1</v>
      </c>
    </row>
    <row r="507" spans="1:2" x14ac:dyDescent="0.25">
      <c r="A507" s="7" t="s">
        <v>4045</v>
      </c>
      <c r="B507" s="7">
        <f>COUNTIFS(Sheet1!C:C,Sheet2!A507)</f>
        <v>1</v>
      </c>
    </row>
    <row r="508" spans="1:2" x14ac:dyDescent="0.25">
      <c r="A508" s="7" t="s">
        <v>1457</v>
      </c>
      <c r="B508" s="7">
        <f>COUNTIFS(Sheet1!C:C,Sheet2!A508)</f>
        <v>1</v>
      </c>
    </row>
    <row r="509" spans="1:2" x14ac:dyDescent="0.25">
      <c r="A509" s="7" t="s">
        <v>846</v>
      </c>
      <c r="B509" s="7">
        <f>COUNTIFS(Sheet1!C:C,Sheet2!A509)</f>
        <v>7</v>
      </c>
    </row>
    <row r="510" spans="1:2" x14ac:dyDescent="0.25">
      <c r="A510" s="7" t="s">
        <v>1915</v>
      </c>
      <c r="B510" s="7">
        <f>COUNTIFS(Sheet1!C:C,Sheet2!A510)</f>
        <v>1</v>
      </c>
    </row>
    <row r="511" spans="1:2" x14ac:dyDescent="0.25">
      <c r="A511" s="7" t="s">
        <v>1401</v>
      </c>
      <c r="B511" s="7">
        <f>COUNTIFS(Sheet1!C:C,Sheet2!A511)</f>
        <v>1</v>
      </c>
    </row>
    <row r="512" spans="1:2" x14ac:dyDescent="0.25">
      <c r="A512" s="7" t="s">
        <v>763</v>
      </c>
      <c r="B512" s="7">
        <f>COUNTIFS(Sheet1!C:C,Sheet2!A512)</f>
        <v>1</v>
      </c>
    </row>
    <row r="513" spans="1:2" x14ac:dyDescent="0.25">
      <c r="A513" s="7" t="s">
        <v>2247</v>
      </c>
      <c r="B513" s="7">
        <f>COUNTIFS(Sheet1!C:C,Sheet2!A513)</f>
        <v>1</v>
      </c>
    </row>
    <row r="514" spans="1:2" x14ac:dyDescent="0.25">
      <c r="A514" s="7" t="s">
        <v>3240</v>
      </c>
      <c r="B514" s="7">
        <f>COUNTIFS(Sheet1!C:C,Sheet2!A514)</f>
        <v>1</v>
      </c>
    </row>
    <row r="515" spans="1:2" x14ac:dyDescent="0.25">
      <c r="A515" s="7" t="s">
        <v>587</v>
      </c>
      <c r="B515" s="7">
        <f>COUNTIFS(Sheet1!C:C,Sheet2!A515)</f>
        <v>1</v>
      </c>
    </row>
    <row r="516" spans="1:2" x14ac:dyDescent="0.25">
      <c r="A516" s="7" t="s">
        <v>2949</v>
      </c>
      <c r="B516" s="7">
        <f>COUNTIFS(Sheet1!C:C,Sheet2!A516)</f>
        <v>1</v>
      </c>
    </row>
    <row r="517" spans="1:2" x14ac:dyDescent="0.25">
      <c r="A517" s="7" t="s">
        <v>936</v>
      </c>
      <c r="B517" s="7">
        <f>COUNTIFS(Sheet1!C:C,Sheet2!A517)</f>
        <v>1</v>
      </c>
    </row>
    <row r="518" spans="1:2" x14ac:dyDescent="0.25">
      <c r="A518" s="7" t="s">
        <v>939</v>
      </c>
      <c r="B518" s="7">
        <f>COUNTIFS(Sheet1!C:C,Sheet2!A518)</f>
        <v>1</v>
      </c>
    </row>
    <row r="519" spans="1:2" x14ac:dyDescent="0.25">
      <c r="A519" s="7" t="s">
        <v>1625</v>
      </c>
      <c r="B519" s="7">
        <f>COUNTIFS(Sheet1!C:C,Sheet2!A519)</f>
        <v>1</v>
      </c>
    </row>
    <row r="520" spans="1:2" x14ac:dyDescent="0.25">
      <c r="A520" s="7" t="s">
        <v>391</v>
      </c>
      <c r="B520" s="7">
        <f>COUNTIFS(Sheet1!C:C,Sheet2!A520)</f>
        <v>1</v>
      </c>
    </row>
    <row r="521" spans="1:2" x14ac:dyDescent="0.25">
      <c r="A521" s="7" t="s">
        <v>2180</v>
      </c>
      <c r="B521" s="7">
        <f>COUNTIFS(Sheet1!C:C,Sheet2!A521)</f>
        <v>1</v>
      </c>
    </row>
    <row r="522" spans="1:2" x14ac:dyDescent="0.25">
      <c r="A522" s="7" t="s">
        <v>2754</v>
      </c>
      <c r="B522" s="7">
        <f>COUNTIFS(Sheet1!C:C,Sheet2!A522)</f>
        <v>1</v>
      </c>
    </row>
    <row r="523" spans="1:2" x14ac:dyDescent="0.25">
      <c r="A523" s="7" t="s">
        <v>4255</v>
      </c>
      <c r="B523" s="7">
        <f>COUNTIFS(Sheet1!C:C,Sheet2!A523)</f>
        <v>1</v>
      </c>
    </row>
    <row r="524" spans="1:2" x14ac:dyDescent="0.25">
      <c r="A524" s="7" t="s">
        <v>3622</v>
      </c>
      <c r="B524" s="7">
        <f>COUNTIFS(Sheet1!C:C,Sheet2!A524)</f>
        <v>1</v>
      </c>
    </row>
    <row r="525" spans="1:2" x14ac:dyDescent="0.25">
      <c r="A525" s="7" t="s">
        <v>979</v>
      </c>
      <c r="B525" s="7">
        <f>COUNTIFS(Sheet1!C:C,Sheet2!A525)</f>
        <v>2</v>
      </c>
    </row>
    <row r="526" spans="1:2" x14ac:dyDescent="0.25">
      <c r="A526" s="7" t="s">
        <v>236</v>
      </c>
      <c r="B526" s="7">
        <f>COUNTIFS(Sheet1!C:C,Sheet2!A526)</f>
        <v>1</v>
      </c>
    </row>
    <row r="527" spans="1:2" x14ac:dyDescent="0.25">
      <c r="A527" s="7" t="s">
        <v>1867</v>
      </c>
      <c r="B527" s="7">
        <f>COUNTIFS(Sheet1!C:C,Sheet2!A527)</f>
        <v>1</v>
      </c>
    </row>
    <row r="528" spans="1:2" x14ac:dyDescent="0.25">
      <c r="A528" s="7" t="s">
        <v>83</v>
      </c>
      <c r="B528" s="7">
        <f>COUNTIFS(Sheet1!C:C,Sheet2!A528)</f>
        <v>1</v>
      </c>
    </row>
    <row r="529" spans="1:2" x14ac:dyDescent="0.25">
      <c r="A529" s="7" t="s">
        <v>2563</v>
      </c>
      <c r="B529" s="7">
        <f>COUNTIFS(Sheet1!C:C,Sheet2!A529)</f>
        <v>1</v>
      </c>
    </row>
    <row r="530" spans="1:2" x14ac:dyDescent="0.25">
      <c r="A530" s="7" t="s">
        <v>2548</v>
      </c>
      <c r="B530" s="7">
        <f>COUNTIFS(Sheet1!C:C,Sheet2!A530)</f>
        <v>1</v>
      </c>
    </row>
    <row r="531" spans="1:2" x14ac:dyDescent="0.25">
      <c r="A531" s="7" t="s">
        <v>310</v>
      </c>
      <c r="B531" s="7">
        <f>COUNTIFS(Sheet1!C:C,Sheet2!A531)</f>
        <v>1</v>
      </c>
    </row>
    <row r="532" spans="1:2" x14ac:dyDescent="0.25">
      <c r="A532" s="7" t="s">
        <v>3854</v>
      </c>
      <c r="B532" s="7">
        <f>COUNTIFS(Sheet1!C:C,Sheet2!A532)</f>
        <v>1</v>
      </c>
    </row>
    <row r="533" spans="1:2" x14ac:dyDescent="0.25">
      <c r="A533" s="7" t="s">
        <v>113</v>
      </c>
      <c r="B533" s="7">
        <f>COUNTIFS(Sheet1!C:C,Sheet2!A533)</f>
        <v>1</v>
      </c>
    </row>
    <row r="534" spans="1:2" x14ac:dyDescent="0.25">
      <c r="A534" s="7" t="s">
        <v>556</v>
      </c>
      <c r="B534" s="7">
        <f>COUNTIFS(Sheet1!C:C,Sheet2!A534)</f>
        <v>1</v>
      </c>
    </row>
    <row r="535" spans="1:2" x14ac:dyDescent="0.25">
      <c r="A535" s="7" t="s">
        <v>50</v>
      </c>
      <c r="B535" s="7">
        <f>COUNTIFS(Sheet1!C:C,Sheet2!A535)</f>
        <v>3</v>
      </c>
    </row>
    <row r="536" spans="1:2" x14ac:dyDescent="0.25">
      <c r="A536" s="7" t="s">
        <v>1395</v>
      </c>
      <c r="B536" s="7">
        <f>COUNTIFS(Sheet1!C:C,Sheet2!A536)</f>
        <v>1</v>
      </c>
    </row>
    <row r="537" spans="1:2" x14ac:dyDescent="0.25">
      <c r="A537" s="7" t="s">
        <v>3628</v>
      </c>
      <c r="B537" s="7">
        <f>COUNTIFS(Sheet1!C:C,Sheet2!A537)</f>
        <v>1</v>
      </c>
    </row>
    <row r="538" spans="1:2" x14ac:dyDescent="0.25">
      <c r="A538" s="7" t="s">
        <v>2441</v>
      </c>
      <c r="B538" s="7">
        <f>COUNTIFS(Sheet1!C:C,Sheet2!A538)</f>
        <v>1</v>
      </c>
    </row>
    <row r="539" spans="1:2" x14ac:dyDescent="0.25">
      <c r="A539" s="7" t="s">
        <v>1719</v>
      </c>
      <c r="B539" s="7">
        <f>COUNTIFS(Sheet1!C:C,Sheet2!A539)</f>
        <v>1</v>
      </c>
    </row>
    <row r="540" spans="1:2" x14ac:dyDescent="0.25">
      <c r="A540" s="7" t="s">
        <v>1216</v>
      </c>
      <c r="B540" s="7">
        <f>COUNTIFS(Sheet1!C:C,Sheet2!A540)</f>
        <v>1</v>
      </c>
    </row>
    <row r="541" spans="1:2" x14ac:dyDescent="0.25">
      <c r="A541" s="7" t="s">
        <v>1961</v>
      </c>
      <c r="B541" s="7">
        <f>COUNTIFS(Sheet1!C:C,Sheet2!A541)</f>
        <v>1</v>
      </c>
    </row>
    <row r="542" spans="1:2" x14ac:dyDescent="0.25">
      <c r="A542" s="7" t="s">
        <v>854</v>
      </c>
      <c r="B542" s="7">
        <f>COUNTIFS(Sheet1!C:C,Sheet2!A542)</f>
        <v>1</v>
      </c>
    </row>
    <row r="543" spans="1:2" x14ac:dyDescent="0.25">
      <c r="A543" s="7" t="s">
        <v>2089</v>
      </c>
      <c r="B543" s="7">
        <f>COUNTIFS(Sheet1!C:C,Sheet2!A543)</f>
        <v>1</v>
      </c>
    </row>
    <row r="544" spans="1:2" x14ac:dyDescent="0.25">
      <c r="A544" s="7" t="s">
        <v>1231</v>
      </c>
      <c r="B544" s="7">
        <f>COUNTIFS(Sheet1!C:C,Sheet2!A544)</f>
        <v>1</v>
      </c>
    </row>
    <row r="545" spans="1:2" x14ac:dyDescent="0.25">
      <c r="A545" s="7" t="s">
        <v>3992</v>
      </c>
      <c r="B545" s="7">
        <f>COUNTIFS(Sheet1!C:C,Sheet2!A545)</f>
        <v>1</v>
      </c>
    </row>
    <row r="546" spans="1:2" x14ac:dyDescent="0.25">
      <c r="A546" s="7" t="s">
        <v>1777</v>
      </c>
      <c r="B546" s="7">
        <f>COUNTIFS(Sheet1!C:C,Sheet2!A546)</f>
        <v>1</v>
      </c>
    </row>
    <row r="547" spans="1:2" x14ac:dyDescent="0.25">
      <c r="A547" s="7" t="s">
        <v>313</v>
      </c>
      <c r="B547" s="7">
        <f>COUNTIFS(Sheet1!C:C,Sheet2!A547)</f>
        <v>1</v>
      </c>
    </row>
    <row r="548" spans="1:2" x14ac:dyDescent="0.25">
      <c r="A548" s="7" t="s">
        <v>2675</v>
      </c>
      <c r="B548" s="7">
        <f>COUNTIFS(Sheet1!C:C,Sheet2!A548)</f>
        <v>1</v>
      </c>
    </row>
    <row r="549" spans="1:2" x14ac:dyDescent="0.25">
      <c r="A549" s="7" t="s">
        <v>1330</v>
      </c>
      <c r="B549" s="7">
        <f>COUNTIFS(Sheet1!C:C,Sheet2!A549)</f>
        <v>1</v>
      </c>
    </row>
    <row r="550" spans="1:2" x14ac:dyDescent="0.25">
      <c r="A550" s="7" t="s">
        <v>3847</v>
      </c>
      <c r="B550" s="7">
        <f>COUNTIFS(Sheet1!C:C,Sheet2!A550)</f>
        <v>1</v>
      </c>
    </row>
    <row r="551" spans="1:2" x14ac:dyDescent="0.25">
      <c r="A551" s="7" t="s">
        <v>2079</v>
      </c>
      <c r="B551" s="7">
        <f>COUNTIFS(Sheet1!C:C,Sheet2!A551)</f>
        <v>1</v>
      </c>
    </row>
    <row r="552" spans="1:2" x14ac:dyDescent="0.25">
      <c r="A552" s="7" t="s">
        <v>3828</v>
      </c>
      <c r="B552" s="7">
        <f>COUNTIFS(Sheet1!C:C,Sheet2!A552)</f>
        <v>1</v>
      </c>
    </row>
    <row r="553" spans="1:2" x14ac:dyDescent="0.25">
      <c r="A553" s="7" t="s">
        <v>290</v>
      </c>
      <c r="B553" s="7">
        <f>COUNTIFS(Sheet1!C:C,Sheet2!A553)</f>
        <v>1</v>
      </c>
    </row>
    <row r="554" spans="1:2" x14ac:dyDescent="0.25">
      <c r="A554" s="7" t="s">
        <v>3319</v>
      </c>
      <c r="B554" s="7">
        <f>COUNTIFS(Sheet1!C:C,Sheet2!A554)</f>
        <v>1</v>
      </c>
    </row>
    <row r="555" spans="1:2" x14ac:dyDescent="0.25">
      <c r="A555" s="7" t="s">
        <v>3461</v>
      </c>
      <c r="B555" s="7">
        <f>COUNTIFS(Sheet1!C:C,Sheet2!A555)</f>
        <v>1</v>
      </c>
    </row>
    <row r="556" spans="1:2" x14ac:dyDescent="0.25">
      <c r="A556" s="7" t="s">
        <v>3764</v>
      </c>
      <c r="B556" s="7">
        <f>COUNTIFS(Sheet1!C:C,Sheet2!A556)</f>
        <v>1</v>
      </c>
    </row>
    <row r="557" spans="1:2" x14ac:dyDescent="0.25">
      <c r="A557" s="7" t="s">
        <v>2520</v>
      </c>
      <c r="B557" s="7">
        <f>COUNTIFS(Sheet1!C:C,Sheet2!A557)</f>
        <v>1</v>
      </c>
    </row>
    <row r="558" spans="1:2" x14ac:dyDescent="0.25">
      <c r="A558" s="7" t="s">
        <v>4014</v>
      </c>
      <c r="B558" s="7">
        <f>COUNTIFS(Sheet1!C:C,Sheet2!A558)</f>
        <v>1</v>
      </c>
    </row>
    <row r="559" spans="1:2" x14ac:dyDescent="0.25">
      <c r="A559" s="7" t="s">
        <v>3674</v>
      </c>
      <c r="B559" s="7">
        <f>COUNTIFS(Sheet1!C:C,Sheet2!A559)</f>
        <v>1</v>
      </c>
    </row>
    <row r="560" spans="1:2" x14ac:dyDescent="0.25">
      <c r="A560" s="7" t="s">
        <v>3352</v>
      </c>
      <c r="B560" s="7">
        <f>COUNTIFS(Sheet1!C:C,Sheet2!A560)</f>
        <v>1</v>
      </c>
    </row>
    <row r="561" spans="1:2" x14ac:dyDescent="0.25">
      <c r="A561" s="7" t="s">
        <v>2347</v>
      </c>
      <c r="B561" s="7">
        <f>COUNTIFS(Sheet1!C:C,Sheet2!A561)</f>
        <v>1</v>
      </c>
    </row>
    <row r="562" spans="1:2" x14ac:dyDescent="0.25">
      <c r="A562" s="7" t="s">
        <v>2101</v>
      </c>
      <c r="B562" s="7">
        <f>COUNTIFS(Sheet1!C:C,Sheet2!A562)</f>
        <v>1</v>
      </c>
    </row>
    <row r="563" spans="1:2" x14ac:dyDescent="0.25">
      <c r="A563" s="7" t="s">
        <v>1803</v>
      </c>
      <c r="B563" s="7">
        <f>COUNTIFS(Sheet1!C:C,Sheet2!A563)</f>
        <v>1</v>
      </c>
    </row>
    <row r="564" spans="1:2" x14ac:dyDescent="0.25">
      <c r="A564" s="7" t="s">
        <v>1582</v>
      </c>
      <c r="B564" s="7">
        <f>COUNTIFS(Sheet1!C:C,Sheet2!A564)</f>
        <v>1</v>
      </c>
    </row>
    <row r="565" spans="1:2" x14ac:dyDescent="0.25">
      <c r="A565" s="7" t="s">
        <v>3843</v>
      </c>
      <c r="B565" s="7">
        <f>COUNTIFS(Sheet1!C:C,Sheet2!A565)</f>
        <v>1</v>
      </c>
    </row>
    <row r="566" spans="1:2" x14ac:dyDescent="0.25">
      <c r="A566" s="7" t="s">
        <v>1863</v>
      </c>
      <c r="B566" s="7">
        <f>COUNTIFS(Sheet1!C:C,Sheet2!A566)</f>
        <v>1</v>
      </c>
    </row>
    <row r="567" spans="1:2" x14ac:dyDescent="0.25">
      <c r="A567" s="7" t="s">
        <v>3632</v>
      </c>
      <c r="B567" s="7">
        <f>COUNTIFS(Sheet1!C:C,Sheet2!A567)</f>
        <v>1</v>
      </c>
    </row>
    <row r="568" spans="1:2" x14ac:dyDescent="0.25">
      <c r="A568" s="7" t="s">
        <v>3512</v>
      </c>
      <c r="B568" s="7">
        <f>COUNTIFS(Sheet1!C:C,Sheet2!A568)</f>
        <v>2</v>
      </c>
    </row>
    <row r="569" spans="1:2" x14ac:dyDescent="0.25">
      <c r="A569" s="7" t="s">
        <v>3173</v>
      </c>
      <c r="B569" s="7">
        <f>COUNTIFS(Sheet1!C:C,Sheet2!A569)</f>
        <v>2</v>
      </c>
    </row>
    <row r="570" spans="1:2" x14ac:dyDescent="0.25">
      <c r="A570" s="7" t="s">
        <v>1444</v>
      </c>
      <c r="B570" s="7">
        <f>COUNTIFS(Sheet1!C:C,Sheet2!A570)</f>
        <v>1</v>
      </c>
    </row>
    <row r="571" spans="1:2" x14ac:dyDescent="0.25">
      <c r="A571" s="7" t="s">
        <v>4241</v>
      </c>
      <c r="B571" s="7">
        <f>COUNTIFS(Sheet1!C:C,Sheet2!A571)</f>
        <v>1</v>
      </c>
    </row>
    <row r="572" spans="1:2" x14ac:dyDescent="0.25">
      <c r="A572" s="7" t="s">
        <v>1629</v>
      </c>
      <c r="B572" s="7">
        <f>COUNTIFS(Sheet1!C:C,Sheet2!A572)</f>
        <v>1</v>
      </c>
    </row>
    <row r="573" spans="1:2" x14ac:dyDescent="0.25">
      <c r="A573" s="7" t="s">
        <v>1409</v>
      </c>
      <c r="B573" s="7">
        <f>COUNTIFS(Sheet1!C:C,Sheet2!A573)</f>
        <v>2</v>
      </c>
    </row>
    <row r="574" spans="1:2" x14ac:dyDescent="0.25">
      <c r="A574" s="7" t="s">
        <v>4095</v>
      </c>
      <c r="B574" s="7">
        <f>COUNTIFS(Sheet1!C:C,Sheet2!A574)</f>
        <v>1</v>
      </c>
    </row>
    <row r="575" spans="1:2" x14ac:dyDescent="0.25">
      <c r="A575" s="7" t="s">
        <v>1012</v>
      </c>
      <c r="B575" s="7">
        <f>COUNTIFS(Sheet1!C:C,Sheet2!A575)</f>
        <v>1</v>
      </c>
    </row>
    <row r="576" spans="1:2" x14ac:dyDescent="0.25">
      <c r="A576" s="7" t="s">
        <v>11</v>
      </c>
      <c r="B576" s="7">
        <f>COUNTIFS(Sheet1!C:C,Sheet2!A576)</f>
        <v>24</v>
      </c>
    </row>
    <row r="577" spans="1:2" x14ac:dyDescent="0.25">
      <c r="A577" s="7" t="s">
        <v>903</v>
      </c>
      <c r="B577" s="7">
        <f>COUNTIFS(Sheet1!C:C,Sheet2!A577)</f>
        <v>2</v>
      </c>
    </row>
    <row r="578" spans="1:2" x14ac:dyDescent="0.25">
      <c r="A578" s="7" t="s">
        <v>4339</v>
      </c>
      <c r="B578" s="7">
        <f>COUNTIFS(Sheet1!C:C,Sheet2!A578)</f>
        <v>1</v>
      </c>
    </row>
    <row r="579" spans="1:2" x14ac:dyDescent="0.25">
      <c r="A579" s="7" t="s">
        <v>3516</v>
      </c>
      <c r="B579" s="7">
        <f>COUNTIFS(Sheet1!C:C,Sheet2!A579)</f>
        <v>1</v>
      </c>
    </row>
    <row r="580" spans="1:2" x14ac:dyDescent="0.25">
      <c r="A580" s="7" t="s">
        <v>2779</v>
      </c>
      <c r="B580" s="7">
        <f>COUNTIFS(Sheet1!C:C,Sheet2!A580)</f>
        <v>1</v>
      </c>
    </row>
    <row r="581" spans="1:2" x14ac:dyDescent="0.25">
      <c r="A581" s="7" t="s">
        <v>2489</v>
      </c>
      <c r="B581" s="7">
        <f>COUNTIFS(Sheet1!C:C,Sheet2!A581)</f>
        <v>1</v>
      </c>
    </row>
    <row r="582" spans="1:2" x14ac:dyDescent="0.25">
      <c r="A582" s="7" t="s">
        <v>808</v>
      </c>
      <c r="B582" s="7">
        <f>COUNTIFS(Sheet1!C:C,Sheet2!A582)</f>
        <v>1</v>
      </c>
    </row>
    <row r="583" spans="1:2" x14ac:dyDescent="0.25">
      <c r="A583" s="7" t="s">
        <v>3205</v>
      </c>
      <c r="B583" s="7">
        <f>COUNTIFS(Sheet1!C:C,Sheet2!A583)</f>
        <v>1</v>
      </c>
    </row>
    <row r="584" spans="1:2" x14ac:dyDescent="0.25">
      <c r="A584" s="7" t="s">
        <v>3056</v>
      </c>
      <c r="B584" s="7">
        <f>COUNTIFS(Sheet1!C:C,Sheet2!A584)</f>
        <v>1</v>
      </c>
    </row>
    <row r="585" spans="1:2" x14ac:dyDescent="0.25">
      <c r="A585" s="7" t="s">
        <v>3340</v>
      </c>
      <c r="B585" s="7">
        <f>COUNTIFS(Sheet1!C:C,Sheet2!A585)</f>
        <v>1</v>
      </c>
    </row>
    <row r="586" spans="1:2" x14ac:dyDescent="0.25">
      <c r="A586" s="7" t="s">
        <v>1496</v>
      </c>
      <c r="B586" s="7">
        <f>COUNTIFS(Sheet1!C:C,Sheet2!A586)</f>
        <v>1</v>
      </c>
    </row>
    <row r="587" spans="1:2" x14ac:dyDescent="0.25">
      <c r="A587" s="7" t="s">
        <v>1226</v>
      </c>
      <c r="B587" s="7">
        <f>COUNTIFS(Sheet1!C:C,Sheet2!A587)</f>
        <v>1</v>
      </c>
    </row>
    <row r="588" spans="1:2" x14ac:dyDescent="0.25">
      <c r="A588" s="7" t="s">
        <v>3392</v>
      </c>
      <c r="B588" s="7">
        <f>COUNTIFS(Sheet1!C:C,Sheet2!A588)</f>
        <v>1</v>
      </c>
    </row>
    <row r="589" spans="1:2" x14ac:dyDescent="0.25">
      <c r="A589" s="7" t="s">
        <v>2792</v>
      </c>
      <c r="B589" s="7">
        <f>COUNTIFS(Sheet1!C:C,Sheet2!A589)</f>
        <v>1</v>
      </c>
    </row>
    <row r="590" spans="1:2" x14ac:dyDescent="0.25">
      <c r="A590" s="7" t="s">
        <v>654</v>
      </c>
      <c r="B590" s="7">
        <f>COUNTIFS(Sheet1!C:C,Sheet2!A590)</f>
        <v>1</v>
      </c>
    </row>
    <row r="591" spans="1:2" x14ac:dyDescent="0.25">
      <c r="A591" s="7" t="s">
        <v>1760</v>
      </c>
      <c r="B591" s="7">
        <f>COUNTIFS(Sheet1!C:C,Sheet2!A591)</f>
        <v>1</v>
      </c>
    </row>
    <row r="592" spans="1:2" x14ac:dyDescent="0.25">
      <c r="A592" s="7" t="s">
        <v>479</v>
      </c>
      <c r="B592" s="7">
        <f>COUNTIFS(Sheet1!C:C,Sheet2!A592)</f>
        <v>3</v>
      </c>
    </row>
    <row r="593" spans="1:2" x14ac:dyDescent="0.25">
      <c r="A593" s="7" t="s">
        <v>2939</v>
      </c>
      <c r="B593" s="7">
        <f>COUNTIFS(Sheet1!C:C,Sheet2!A593)</f>
        <v>1</v>
      </c>
    </row>
    <row r="594" spans="1:2" x14ac:dyDescent="0.25">
      <c r="A594" s="7" t="s">
        <v>2134</v>
      </c>
      <c r="B594" s="7">
        <f>COUNTIFS(Sheet1!C:C,Sheet2!A594)</f>
        <v>1</v>
      </c>
    </row>
    <row r="595" spans="1:2" x14ac:dyDescent="0.25">
      <c r="A595" s="7" t="s">
        <v>3026</v>
      </c>
      <c r="B595" s="7">
        <f>COUNTIFS(Sheet1!C:C,Sheet2!A595)</f>
        <v>1</v>
      </c>
    </row>
    <row r="596" spans="1:2" x14ac:dyDescent="0.25">
      <c r="A596" s="7" t="s">
        <v>4327</v>
      </c>
      <c r="B596" s="7">
        <f>COUNTIFS(Sheet1!C:C,Sheet2!A596)</f>
        <v>1</v>
      </c>
    </row>
    <row r="597" spans="1:2" x14ac:dyDescent="0.25">
      <c r="A597" s="7" t="s">
        <v>1093</v>
      </c>
      <c r="B597" s="7">
        <f>COUNTIFS(Sheet1!C:C,Sheet2!A597)</f>
        <v>1</v>
      </c>
    </row>
    <row r="598" spans="1:2" x14ac:dyDescent="0.25">
      <c r="A598" s="7" t="s">
        <v>184</v>
      </c>
      <c r="B598" s="7">
        <f>COUNTIFS(Sheet1!C:C,Sheet2!A598)</f>
        <v>2</v>
      </c>
    </row>
    <row r="599" spans="1:2" x14ac:dyDescent="0.25">
      <c r="A599" s="7" t="s">
        <v>3520</v>
      </c>
      <c r="B599" s="7">
        <f>COUNTIFS(Sheet1!C:C,Sheet2!A599)</f>
        <v>1</v>
      </c>
    </row>
    <row r="600" spans="1:2" x14ac:dyDescent="0.25">
      <c r="A600" s="7" t="s">
        <v>1793</v>
      </c>
      <c r="B600" s="7">
        <f>COUNTIFS(Sheet1!C:C,Sheet2!A600)</f>
        <v>1</v>
      </c>
    </row>
    <row r="601" spans="1:2" x14ac:dyDescent="0.25">
      <c r="A601" s="7" t="s">
        <v>4124</v>
      </c>
      <c r="B601" s="7">
        <f>COUNTIFS(Sheet1!C:C,Sheet2!A601)</f>
        <v>1</v>
      </c>
    </row>
    <row r="602" spans="1:2" x14ac:dyDescent="0.25">
      <c r="A602" s="7" t="s">
        <v>2320</v>
      </c>
      <c r="B602" s="7">
        <f>COUNTIFS(Sheet1!C:C,Sheet2!A602)</f>
        <v>1</v>
      </c>
    </row>
    <row r="603" spans="1:2" x14ac:dyDescent="0.25">
      <c r="A603" s="7" t="s">
        <v>2900</v>
      </c>
      <c r="B603" s="7">
        <f>COUNTIFS(Sheet1!C:C,Sheet2!A603)</f>
        <v>1</v>
      </c>
    </row>
    <row r="604" spans="1:2" x14ac:dyDescent="0.25">
      <c r="A604" s="7" t="s">
        <v>2280</v>
      </c>
      <c r="B604" s="7">
        <f>COUNTIFS(Sheet1!C:C,Sheet2!A604)</f>
        <v>1</v>
      </c>
    </row>
    <row r="605" spans="1:2" x14ac:dyDescent="0.25">
      <c r="A605" s="7" t="s">
        <v>2219</v>
      </c>
      <c r="B605" s="7">
        <f>COUNTIFS(Sheet1!C:C,Sheet2!A605)</f>
        <v>1</v>
      </c>
    </row>
    <row r="606" spans="1:2" x14ac:dyDescent="0.25">
      <c r="A606" s="7" t="s">
        <v>4042</v>
      </c>
      <c r="B606" s="7">
        <f>COUNTIFS(Sheet1!C:C,Sheet2!A606)</f>
        <v>1</v>
      </c>
    </row>
    <row r="607" spans="1:2" x14ac:dyDescent="0.25">
      <c r="A607" s="7" t="s">
        <v>4320</v>
      </c>
      <c r="B607" s="7">
        <f>COUNTIFS(Sheet1!C:C,Sheet2!A607)</f>
        <v>1</v>
      </c>
    </row>
    <row r="608" spans="1:2" x14ac:dyDescent="0.25">
      <c r="A608" s="7" t="s">
        <v>688</v>
      </c>
      <c r="B608" s="7">
        <f>COUNTIFS(Sheet1!C:C,Sheet2!A608)</f>
        <v>1</v>
      </c>
    </row>
    <row r="609" spans="1:2" x14ac:dyDescent="0.25">
      <c r="A609" s="7" t="s">
        <v>3535</v>
      </c>
      <c r="B609" s="7">
        <f>COUNTIFS(Sheet1!C:C,Sheet2!A609)</f>
        <v>1</v>
      </c>
    </row>
    <row r="610" spans="1:2" x14ac:dyDescent="0.25">
      <c r="A610" s="7" t="s">
        <v>4210</v>
      </c>
      <c r="B610" s="7">
        <f>COUNTIFS(Sheet1!C:C,Sheet2!A610)</f>
        <v>1</v>
      </c>
    </row>
    <row r="611" spans="1:2" x14ac:dyDescent="0.25">
      <c r="A611" s="7" t="s">
        <v>824</v>
      </c>
      <c r="B611" s="7">
        <f>COUNTIFS(Sheet1!C:C,Sheet2!A611)</f>
        <v>1</v>
      </c>
    </row>
    <row r="612" spans="1:2" x14ac:dyDescent="0.25">
      <c r="A612" s="7" t="s">
        <v>1025</v>
      </c>
      <c r="B612" s="7">
        <f>COUNTIFS(Sheet1!C:C,Sheet2!A612)</f>
        <v>1</v>
      </c>
    </row>
    <row r="613" spans="1:2" x14ac:dyDescent="0.25">
      <c r="A613" s="7" t="s">
        <v>3538</v>
      </c>
      <c r="B613" s="7">
        <f>COUNTIFS(Sheet1!C:C,Sheet2!A613)</f>
        <v>2</v>
      </c>
    </row>
    <row r="614" spans="1:2" x14ac:dyDescent="0.25">
      <c r="A614" s="7" t="s">
        <v>1851</v>
      </c>
      <c r="B614" s="7">
        <f>COUNTIFS(Sheet1!C:C,Sheet2!A614)</f>
        <v>1</v>
      </c>
    </row>
    <row r="615" spans="1:2" x14ac:dyDescent="0.25">
      <c r="A615" s="7" t="s">
        <v>3008</v>
      </c>
      <c r="B615" s="7">
        <f>COUNTIFS(Sheet1!C:C,Sheet2!A615)</f>
        <v>1</v>
      </c>
    </row>
    <row r="616" spans="1:2" x14ac:dyDescent="0.25">
      <c r="A616" s="7" t="s">
        <v>2734</v>
      </c>
      <c r="B616" s="7">
        <f>COUNTIFS(Sheet1!C:C,Sheet2!A616)</f>
        <v>1</v>
      </c>
    </row>
    <row r="617" spans="1:2" x14ac:dyDescent="0.25">
      <c r="A617" s="7" t="s">
        <v>2656</v>
      </c>
      <c r="B617" s="7">
        <f>COUNTIFS(Sheet1!C:C,Sheet2!A617)</f>
        <v>1</v>
      </c>
    </row>
    <row r="618" spans="1:2" x14ac:dyDescent="0.25">
      <c r="A618" s="7" t="s">
        <v>465</v>
      </c>
      <c r="B618" s="7">
        <f>COUNTIFS(Sheet1!C:C,Sheet2!A618)</f>
        <v>1</v>
      </c>
    </row>
    <row r="619" spans="1:2" x14ac:dyDescent="0.25">
      <c r="A619" s="7" t="s">
        <v>1713</v>
      </c>
      <c r="B619" s="7">
        <f>COUNTIFS(Sheet1!C:C,Sheet2!A619)</f>
        <v>1</v>
      </c>
    </row>
    <row r="620" spans="1:2" x14ac:dyDescent="0.25">
      <c r="A620" s="7" t="s">
        <v>3306</v>
      </c>
      <c r="B620" s="7">
        <f>COUNTIFS(Sheet1!C:C,Sheet2!A620)</f>
        <v>1</v>
      </c>
    </row>
    <row r="621" spans="1:2" x14ac:dyDescent="0.25">
      <c r="A621" s="7" t="s">
        <v>1722</v>
      </c>
      <c r="B621" s="7">
        <f>COUNTIFS(Sheet1!C:C,Sheet2!A621)</f>
        <v>1</v>
      </c>
    </row>
    <row r="622" spans="1:2" x14ac:dyDescent="0.25">
      <c r="A622" s="7" t="s">
        <v>3371</v>
      </c>
      <c r="B622" s="7">
        <f>COUNTIFS(Sheet1!C:C,Sheet2!A622)</f>
        <v>1</v>
      </c>
    </row>
    <row r="623" spans="1:2" x14ac:dyDescent="0.25">
      <c r="A623" s="7" t="s">
        <v>2844</v>
      </c>
      <c r="B623" s="7">
        <f>COUNTIFS(Sheet1!C:C,Sheet2!A623)</f>
        <v>1</v>
      </c>
    </row>
    <row r="624" spans="1:2" x14ac:dyDescent="0.25">
      <c r="A624" s="7" t="s">
        <v>3389</v>
      </c>
      <c r="B624" s="7">
        <f>COUNTIFS(Sheet1!C:C,Sheet2!A624)</f>
        <v>2</v>
      </c>
    </row>
    <row r="625" spans="1:2" x14ac:dyDescent="0.25">
      <c r="A625" s="7" t="s">
        <v>4136</v>
      </c>
      <c r="B625" s="7">
        <f>COUNTIFS(Sheet1!C:C,Sheet2!A625)</f>
        <v>1</v>
      </c>
    </row>
    <row r="626" spans="1:2" x14ac:dyDescent="0.25">
      <c r="A626" s="7" t="s">
        <v>3528</v>
      </c>
      <c r="B626" s="7">
        <f>COUNTIFS(Sheet1!C:C,Sheet2!A626)</f>
        <v>1</v>
      </c>
    </row>
    <row r="627" spans="1:2" x14ac:dyDescent="0.25">
      <c r="A627" s="7" t="s">
        <v>57</v>
      </c>
      <c r="B627" s="7">
        <f>COUNTIFS(Sheet1!C:C,Sheet2!A627)</f>
        <v>15</v>
      </c>
    </row>
    <row r="628" spans="1:2" x14ac:dyDescent="0.25">
      <c r="A628" s="7" t="s">
        <v>3197</v>
      </c>
      <c r="B628" s="7">
        <f>COUNTIFS(Sheet1!C:C,Sheet2!A628)</f>
        <v>1</v>
      </c>
    </row>
    <row r="629" spans="1:2" x14ac:dyDescent="0.25">
      <c r="A629" s="7" t="s">
        <v>3209</v>
      </c>
      <c r="B629" s="7">
        <f>COUNTIFS(Sheet1!C:C,Sheet2!A629)</f>
        <v>1</v>
      </c>
    </row>
    <row r="630" spans="1:2" x14ac:dyDescent="0.25">
      <c r="A630" s="7" t="s">
        <v>3186</v>
      </c>
      <c r="B630" s="7">
        <f>COUNTIFS(Sheet1!C:C,Sheet2!A630)</f>
        <v>1</v>
      </c>
    </row>
    <row r="631" spans="1:2" x14ac:dyDescent="0.25">
      <c r="A631" s="7" t="s">
        <v>2153</v>
      </c>
      <c r="B631" s="7">
        <f>COUNTIFS(Sheet1!C:C,Sheet2!A631)</f>
        <v>2</v>
      </c>
    </row>
    <row r="632" spans="1:2" x14ac:dyDescent="0.25">
      <c r="A632" s="7" t="s">
        <v>3506</v>
      </c>
      <c r="B632" s="7">
        <f>COUNTIFS(Sheet1!C:C,Sheet2!A632)</f>
        <v>1</v>
      </c>
    </row>
    <row r="633" spans="1:2" x14ac:dyDescent="0.25">
      <c r="A633" s="7" t="s">
        <v>1053</v>
      </c>
      <c r="B633" s="7">
        <f>COUNTIFS(Sheet1!C:C,Sheet2!A633)</f>
        <v>1</v>
      </c>
    </row>
    <row r="634" spans="1:2" x14ac:dyDescent="0.25">
      <c r="A634" s="7" t="s">
        <v>449</v>
      </c>
      <c r="B634" s="7">
        <f>COUNTIFS(Sheet1!C:C,Sheet2!A634)</f>
        <v>1</v>
      </c>
    </row>
    <row r="635" spans="1:2" x14ac:dyDescent="0.25">
      <c r="A635" s="7" t="s">
        <v>4151</v>
      </c>
      <c r="B635" s="7">
        <f>COUNTIFS(Sheet1!C:C,Sheet2!A635)</f>
        <v>1</v>
      </c>
    </row>
    <row r="636" spans="1:2" x14ac:dyDescent="0.25">
      <c r="A636" s="7" t="s">
        <v>1937</v>
      </c>
      <c r="B636" s="7">
        <f>COUNTIFS(Sheet1!C:C,Sheet2!A636)</f>
        <v>1</v>
      </c>
    </row>
    <row r="637" spans="1:2" x14ac:dyDescent="0.25">
      <c r="A637" s="7" t="s">
        <v>2671</v>
      </c>
      <c r="B637" s="7">
        <f>COUNTIFS(Sheet1!C:C,Sheet2!A637)</f>
        <v>1</v>
      </c>
    </row>
    <row r="638" spans="1:2" x14ac:dyDescent="0.25">
      <c r="A638" s="7" t="s">
        <v>1470</v>
      </c>
      <c r="B638" s="7">
        <f>COUNTIFS(Sheet1!C:C,Sheet2!A638)</f>
        <v>1</v>
      </c>
    </row>
    <row r="639" spans="1:2" x14ac:dyDescent="0.25">
      <c r="A639" s="7" t="s">
        <v>4280</v>
      </c>
      <c r="B639" s="7">
        <f>COUNTIFS(Sheet1!C:C,Sheet2!A639)</f>
        <v>1</v>
      </c>
    </row>
    <row r="640" spans="1:2" x14ac:dyDescent="0.25">
      <c r="A640" s="7" t="s">
        <v>4142</v>
      </c>
      <c r="B640" s="7">
        <f>COUNTIFS(Sheet1!C:C,Sheet2!A640)</f>
        <v>1</v>
      </c>
    </row>
    <row r="641" spans="1:2" x14ac:dyDescent="0.25">
      <c r="A641" s="7" t="s">
        <v>1359</v>
      </c>
      <c r="B641" s="7">
        <f>COUNTIFS(Sheet1!C:C,Sheet2!A641)</f>
        <v>1</v>
      </c>
    </row>
    <row r="642" spans="1:2" x14ac:dyDescent="0.25">
      <c r="A642" s="7" t="s">
        <v>759</v>
      </c>
      <c r="B642" s="7">
        <f>COUNTIFS(Sheet1!C:C,Sheet2!A642)</f>
        <v>1</v>
      </c>
    </row>
    <row r="643" spans="1:2" x14ac:dyDescent="0.25">
      <c r="A643" s="7" t="s">
        <v>1769</v>
      </c>
      <c r="B643" s="7">
        <f>COUNTIFS(Sheet1!C:C,Sheet2!A643)</f>
        <v>1</v>
      </c>
    </row>
    <row r="644" spans="1:2" x14ac:dyDescent="0.25">
      <c r="A644" s="7" t="s">
        <v>1735</v>
      </c>
      <c r="B644" s="7">
        <f>COUNTIFS(Sheet1!C:C,Sheet2!A644)</f>
        <v>1</v>
      </c>
    </row>
    <row r="645" spans="1:2" x14ac:dyDescent="0.25">
      <c r="A645" s="7" t="s">
        <v>620</v>
      </c>
      <c r="B645" s="7">
        <f>COUNTIFS(Sheet1!C:C,Sheet2!A645)</f>
        <v>2</v>
      </c>
    </row>
    <row r="646" spans="1:2" x14ac:dyDescent="0.25">
      <c r="A646" s="7" t="s">
        <v>717</v>
      </c>
      <c r="B646" s="7">
        <f>COUNTIFS(Sheet1!C:C,Sheet2!A646)</f>
        <v>1</v>
      </c>
    </row>
    <row r="647" spans="1:2" x14ac:dyDescent="0.25">
      <c r="A647" s="7" t="s">
        <v>2698</v>
      </c>
      <c r="B647" s="7">
        <f>COUNTIFS(Sheet1!C:C,Sheet2!A647)</f>
        <v>5</v>
      </c>
    </row>
    <row r="648" spans="1:2" x14ac:dyDescent="0.25">
      <c r="A648" s="7" t="s">
        <v>929</v>
      </c>
      <c r="B648" s="7">
        <f>COUNTIFS(Sheet1!C:C,Sheet2!A648)</f>
        <v>1</v>
      </c>
    </row>
    <row r="649" spans="1:2" x14ac:dyDescent="0.25">
      <c r="A649" s="7" t="s">
        <v>1367</v>
      </c>
      <c r="B649" s="7">
        <f>COUNTIFS(Sheet1!C:C,Sheet2!A649)</f>
        <v>4</v>
      </c>
    </row>
    <row r="650" spans="1:2" x14ac:dyDescent="0.25">
      <c r="A650" s="7" t="s">
        <v>2633</v>
      </c>
      <c r="B650" s="7">
        <f>COUNTIFS(Sheet1!C:C,Sheet2!A650)</f>
        <v>3</v>
      </c>
    </row>
    <row r="651" spans="1:2" x14ac:dyDescent="0.25">
      <c r="A651" s="7" t="s">
        <v>351</v>
      </c>
      <c r="B651" s="7">
        <f>COUNTIFS(Sheet1!C:C,Sheet2!A651)</f>
        <v>5</v>
      </c>
    </row>
    <row r="652" spans="1:2" x14ac:dyDescent="0.25">
      <c r="A652" s="7" t="s">
        <v>3107</v>
      </c>
      <c r="B652" s="7">
        <f>COUNTIFS(Sheet1!C:C,Sheet2!A652)</f>
        <v>1</v>
      </c>
    </row>
    <row r="653" spans="1:2" x14ac:dyDescent="0.25">
      <c r="A653" s="7" t="s">
        <v>3128</v>
      </c>
      <c r="B653" s="7">
        <f>COUNTIFS(Sheet1!C:C,Sheet2!A653)</f>
        <v>1</v>
      </c>
    </row>
    <row r="654" spans="1:2" x14ac:dyDescent="0.25">
      <c r="A654" s="7" t="s">
        <v>576</v>
      </c>
      <c r="B654" s="7">
        <f>COUNTIFS(Sheet1!C:C,Sheet2!A654)</f>
        <v>29</v>
      </c>
    </row>
    <row r="655" spans="1:2" x14ac:dyDescent="0.25">
      <c r="A655" s="7" t="s">
        <v>1875</v>
      </c>
      <c r="B655" s="7">
        <f>COUNTIFS(Sheet1!C:C,Sheet2!A655)</f>
        <v>1</v>
      </c>
    </row>
    <row r="656" spans="1:2" x14ac:dyDescent="0.25">
      <c r="A656" s="7" t="s">
        <v>3768</v>
      </c>
      <c r="B656" s="7">
        <f>COUNTIFS(Sheet1!C:C,Sheet2!A656)</f>
        <v>1</v>
      </c>
    </row>
    <row r="657" spans="1:2" x14ac:dyDescent="0.25">
      <c r="A657" s="7" t="s">
        <v>3738</v>
      </c>
      <c r="B657" s="7">
        <f>COUNTIFS(Sheet1!C:C,Sheet2!A657)</f>
        <v>3</v>
      </c>
    </row>
    <row r="658" spans="1:2" x14ac:dyDescent="0.25">
      <c r="A658" s="7" t="s">
        <v>4110</v>
      </c>
      <c r="B658" s="7">
        <f>COUNTIFS(Sheet1!C:C,Sheet2!A658)</f>
        <v>1</v>
      </c>
    </row>
    <row r="659" spans="1:2" x14ac:dyDescent="0.25">
      <c r="A659" s="7" t="s">
        <v>3213</v>
      </c>
      <c r="B659" s="7">
        <f>COUNTIFS(Sheet1!C:C,Sheet2!A659)</f>
        <v>1</v>
      </c>
    </row>
    <row r="660" spans="1:2" x14ac:dyDescent="0.25">
      <c r="A660" s="7" t="s">
        <v>4100</v>
      </c>
      <c r="B660" s="7">
        <f>COUNTIFS(Sheet1!C:C,Sheet2!A660)</f>
        <v>1</v>
      </c>
    </row>
    <row r="661" spans="1:2" x14ac:dyDescent="0.25">
      <c r="A661" s="7" t="s">
        <v>2221</v>
      </c>
      <c r="B661" s="7">
        <f>COUNTIFS(Sheet1!C:C,Sheet2!A661)</f>
        <v>4</v>
      </c>
    </row>
    <row r="662" spans="1:2" x14ac:dyDescent="0.25">
      <c r="A662" s="7" t="s">
        <v>4167</v>
      </c>
      <c r="B662" s="7">
        <f>COUNTIFS(Sheet1!C:C,Sheet2!A662)</f>
        <v>1</v>
      </c>
    </row>
    <row r="663" spans="1:2" x14ac:dyDescent="0.25">
      <c r="A663" s="7" t="s">
        <v>3698</v>
      </c>
      <c r="B663" s="7">
        <f>COUNTIFS(Sheet1!C:C,Sheet2!A663)</f>
        <v>5</v>
      </c>
    </row>
    <row r="664" spans="1:2" x14ac:dyDescent="0.25">
      <c r="A664" s="7" t="s">
        <v>3309</v>
      </c>
      <c r="B664" s="7">
        <f>COUNTIFS(Sheet1!C:C,Sheet2!A664)</f>
        <v>1</v>
      </c>
    </row>
    <row r="665" spans="1:2" x14ac:dyDescent="0.25">
      <c r="A665" s="7" t="s">
        <v>347</v>
      </c>
      <c r="B665" s="7">
        <f>COUNTIFS(Sheet1!C:C,Sheet2!A665)</f>
        <v>1</v>
      </c>
    </row>
    <row r="666" spans="1:2" x14ac:dyDescent="0.25">
      <c r="A666" s="7" t="s">
        <v>3450</v>
      </c>
      <c r="B666" s="7">
        <f>COUNTIFS(Sheet1!C:C,Sheet2!A666)</f>
        <v>1</v>
      </c>
    </row>
    <row r="667" spans="1:2" x14ac:dyDescent="0.25">
      <c r="A667" s="7" t="s">
        <v>3123</v>
      </c>
      <c r="B667" s="7">
        <f>COUNTIFS(Sheet1!C:C,Sheet2!A667)</f>
        <v>1</v>
      </c>
    </row>
    <row r="668" spans="1:2" x14ac:dyDescent="0.25">
      <c r="A668" s="7" t="s">
        <v>4022</v>
      </c>
      <c r="B668" s="7">
        <f>COUNTIFS(Sheet1!C:C,Sheet2!A668)</f>
        <v>1</v>
      </c>
    </row>
    <row r="669" spans="1:2" x14ac:dyDescent="0.25">
      <c r="A669" s="7" t="s">
        <v>456</v>
      </c>
      <c r="B669" s="7">
        <f>COUNTIFS(Sheet1!C:C,Sheet2!A669)</f>
        <v>3</v>
      </c>
    </row>
    <row r="670" spans="1:2" x14ac:dyDescent="0.25">
      <c r="A670" s="7" t="s">
        <v>3791</v>
      </c>
      <c r="B670" s="7">
        <f>COUNTIFS(Sheet1!C:C,Sheet2!A670)</f>
        <v>1</v>
      </c>
    </row>
    <row r="671" spans="1:2" x14ac:dyDescent="0.25">
      <c r="A671" s="7" t="s">
        <v>1965</v>
      </c>
      <c r="B671" s="7">
        <f>COUNTIFS(Sheet1!C:C,Sheet2!A671)</f>
        <v>1</v>
      </c>
    </row>
    <row r="672" spans="1:2" x14ac:dyDescent="0.25">
      <c r="A672" s="7" t="s">
        <v>3922</v>
      </c>
      <c r="B672" s="7">
        <f>COUNTIFS(Sheet1!C:C,Sheet2!A672)</f>
        <v>1</v>
      </c>
    </row>
    <row r="673" spans="1:2" x14ac:dyDescent="0.25">
      <c r="A673" s="7" t="s">
        <v>2951</v>
      </c>
      <c r="B673" s="7">
        <f>COUNTIFS(Sheet1!C:C,Sheet2!A673)</f>
        <v>1</v>
      </c>
    </row>
    <row r="674" spans="1:2" x14ac:dyDescent="0.25">
      <c r="A674" s="7" t="s">
        <v>2228</v>
      </c>
      <c r="B674" s="7">
        <f>COUNTIFS(Sheet1!C:C,Sheet2!A674)</f>
        <v>1</v>
      </c>
    </row>
    <row r="675" spans="1:2" x14ac:dyDescent="0.25">
      <c r="A675" s="7" t="s">
        <v>3481</v>
      </c>
      <c r="B675" s="7">
        <f>COUNTIFS(Sheet1!C:C,Sheet2!A675)</f>
        <v>1</v>
      </c>
    </row>
    <row r="676" spans="1:2" x14ac:dyDescent="0.25">
      <c r="A676" s="7" t="s">
        <v>2077</v>
      </c>
      <c r="B676" s="7">
        <f>COUNTIFS(Sheet1!C:C,Sheet2!A676)</f>
        <v>1</v>
      </c>
    </row>
    <row r="677" spans="1:2" x14ac:dyDescent="0.25">
      <c r="A677" s="7" t="s">
        <v>1886</v>
      </c>
      <c r="B677" s="7">
        <f>COUNTIFS(Sheet1!C:C,Sheet2!A677)</f>
        <v>2</v>
      </c>
    </row>
    <row r="678" spans="1:2" x14ac:dyDescent="0.25">
      <c r="A678" s="7" t="s">
        <v>2559</v>
      </c>
      <c r="B678" s="7">
        <f>COUNTIFS(Sheet1!C:C,Sheet2!A678)</f>
        <v>1</v>
      </c>
    </row>
    <row r="679" spans="1:2" x14ac:dyDescent="0.25">
      <c r="A679" s="7" t="s">
        <v>2098</v>
      </c>
      <c r="B679" s="7">
        <f>COUNTIFS(Sheet1!C:C,Sheet2!A679)</f>
        <v>1</v>
      </c>
    </row>
    <row r="680" spans="1:2" x14ac:dyDescent="0.25">
      <c r="A680" s="7" t="s">
        <v>69</v>
      </c>
      <c r="B680" s="7">
        <f>COUNTIFS(Sheet1!C:C,Sheet2!A680)</f>
        <v>5</v>
      </c>
    </row>
    <row r="681" spans="1:2" x14ac:dyDescent="0.25">
      <c r="A681" s="7" t="s">
        <v>861</v>
      </c>
      <c r="B681" s="7">
        <f>COUNTIFS(Sheet1!C:C,Sheet2!A681)</f>
        <v>1</v>
      </c>
    </row>
    <row r="682" spans="1:2" x14ac:dyDescent="0.25">
      <c r="A682" s="7" t="s">
        <v>1480</v>
      </c>
      <c r="B682" s="7">
        <f>COUNTIFS(Sheet1!C:C,Sheet2!A682)</f>
        <v>3</v>
      </c>
    </row>
    <row r="683" spans="1:2" x14ac:dyDescent="0.25">
      <c r="A683" s="7" t="s">
        <v>3888</v>
      </c>
      <c r="B683" s="7">
        <f>COUNTIFS(Sheet1!C:C,Sheet2!A683)</f>
        <v>1</v>
      </c>
    </row>
    <row r="684" spans="1:2" x14ac:dyDescent="0.25">
      <c r="A684" s="7" t="s">
        <v>1451</v>
      </c>
      <c r="B684" s="7">
        <f>COUNTIFS(Sheet1!C:C,Sheet2!A684)</f>
        <v>2</v>
      </c>
    </row>
    <row r="685" spans="1:2" x14ac:dyDescent="0.25">
      <c r="A685" s="7" t="s">
        <v>753</v>
      </c>
      <c r="B685" s="7">
        <f>COUNTIFS(Sheet1!C:C,Sheet2!A685)</f>
        <v>1</v>
      </c>
    </row>
    <row r="686" spans="1:2" x14ac:dyDescent="0.25">
      <c r="A686" s="7" t="s">
        <v>2855</v>
      </c>
      <c r="B686" s="7">
        <f>COUNTIFS(Sheet1!C:C,Sheet2!A686)</f>
        <v>1</v>
      </c>
    </row>
    <row r="687" spans="1:2" x14ac:dyDescent="0.25">
      <c r="A687" s="7" t="s">
        <v>3947</v>
      </c>
      <c r="B687" s="7">
        <f>COUNTIFS(Sheet1!C:C,Sheet2!A687)</f>
        <v>1</v>
      </c>
    </row>
    <row r="688" spans="1:2" x14ac:dyDescent="0.25">
      <c r="A688" s="7" t="s">
        <v>1414</v>
      </c>
      <c r="B688" s="7">
        <f>COUNTIFS(Sheet1!C:C,Sheet2!A688)</f>
        <v>1</v>
      </c>
    </row>
    <row r="689" spans="1:2" x14ac:dyDescent="0.25">
      <c r="A689" s="7" t="s">
        <v>3783</v>
      </c>
      <c r="B689" s="7">
        <f>COUNTIFS(Sheet1!C:C,Sheet2!A689)</f>
        <v>1</v>
      </c>
    </row>
    <row r="690" spans="1:2" x14ac:dyDescent="0.25">
      <c r="A690" s="7" t="s">
        <v>624</v>
      </c>
      <c r="B690" s="7">
        <f>COUNTIFS(Sheet1!C:C,Sheet2!A690)</f>
        <v>1</v>
      </c>
    </row>
    <row r="691" spans="1:2" x14ac:dyDescent="0.25">
      <c r="A691" s="7" t="s">
        <v>3708</v>
      </c>
      <c r="B691" s="7">
        <f>COUNTIFS(Sheet1!C:C,Sheet2!A691)</f>
        <v>1</v>
      </c>
    </row>
    <row r="692" spans="1:2" x14ac:dyDescent="0.25">
      <c r="A692" s="7" t="s">
        <v>1149</v>
      </c>
      <c r="B692" s="7">
        <f>COUNTIFS(Sheet1!C:C,Sheet2!A692)</f>
        <v>1</v>
      </c>
    </row>
    <row r="693" spans="1:2" x14ac:dyDescent="0.25">
      <c r="A693" s="7" t="s">
        <v>4218</v>
      </c>
      <c r="B693" s="7">
        <f>COUNTIFS(Sheet1!C:C,Sheet2!A693)</f>
        <v>1</v>
      </c>
    </row>
    <row r="694" spans="1:2" x14ac:dyDescent="0.25">
      <c r="A694" s="7" t="s">
        <v>3586</v>
      </c>
      <c r="B694" s="7">
        <f>COUNTIFS(Sheet1!C:C,Sheet2!A694)</f>
        <v>1</v>
      </c>
    </row>
    <row r="695" spans="1:2" x14ac:dyDescent="0.25">
      <c r="A695" s="7" t="s">
        <v>1335</v>
      </c>
      <c r="B695" s="7">
        <f>COUNTIFS(Sheet1!C:C,Sheet2!A695)</f>
        <v>1</v>
      </c>
    </row>
    <row r="696" spans="1:2" x14ac:dyDescent="0.25">
      <c r="A696" s="7" t="s">
        <v>3937</v>
      </c>
      <c r="B696" s="7">
        <f>COUNTIFS(Sheet1!C:C,Sheet2!A696)</f>
        <v>1</v>
      </c>
    </row>
    <row r="697" spans="1:2" x14ac:dyDescent="0.25">
      <c r="A697" s="7" t="s">
        <v>4323</v>
      </c>
      <c r="B697" s="7">
        <f>COUNTIFS(Sheet1!C:C,Sheet2!A697)</f>
        <v>1</v>
      </c>
    </row>
    <row r="698" spans="1:2" x14ac:dyDescent="0.25">
      <c r="A698" s="7" t="s">
        <v>2660</v>
      </c>
      <c r="B698" s="7">
        <f>COUNTIFS(Sheet1!C:C,Sheet2!A698)</f>
        <v>1</v>
      </c>
    </row>
    <row r="699" spans="1:2" x14ac:dyDescent="0.25">
      <c r="A699" s="7" t="s">
        <v>3619</v>
      </c>
      <c r="B699" s="7">
        <f>COUNTIFS(Sheet1!C:C,Sheet2!A699)</f>
        <v>1</v>
      </c>
    </row>
    <row r="700" spans="1:2" x14ac:dyDescent="0.25">
      <c r="A700" s="7" t="s">
        <v>4082</v>
      </c>
      <c r="B700" s="7">
        <f>COUNTIFS(Sheet1!C:C,Sheet2!A700)</f>
        <v>1</v>
      </c>
    </row>
    <row r="701" spans="1:2" x14ac:dyDescent="0.25">
      <c r="A701" s="7" t="s">
        <v>1211</v>
      </c>
      <c r="B701" s="7">
        <f>COUNTIFS(Sheet1!C:C,Sheet2!A701)</f>
        <v>1</v>
      </c>
    </row>
    <row r="702" spans="1:2" x14ac:dyDescent="0.25">
      <c r="A702" s="7" t="s">
        <v>1269</v>
      </c>
      <c r="B702" s="7">
        <f>COUNTIFS(Sheet1!C:C,Sheet2!A702)</f>
        <v>1</v>
      </c>
    </row>
    <row r="703" spans="1:2" x14ac:dyDescent="0.25">
      <c r="A703" s="7" t="s">
        <v>1262</v>
      </c>
      <c r="B703" s="7">
        <f>COUNTIFS(Sheet1!C:C,Sheet2!A703)</f>
        <v>1</v>
      </c>
    </row>
    <row r="704" spans="1:2" x14ac:dyDescent="0.25">
      <c r="A704" s="7" t="s">
        <v>1057</v>
      </c>
      <c r="B704" s="7">
        <f>COUNTIFS(Sheet1!C:C,Sheet2!A704)</f>
        <v>3</v>
      </c>
    </row>
    <row r="705" spans="1:2" x14ac:dyDescent="0.25">
      <c r="A705" s="7" t="s">
        <v>1841</v>
      </c>
      <c r="B705" s="7">
        <f>COUNTIFS(Sheet1!C:C,Sheet2!A705)</f>
        <v>1</v>
      </c>
    </row>
    <row r="706" spans="1:2" x14ac:dyDescent="0.25">
      <c r="A706" s="7" t="s">
        <v>605</v>
      </c>
      <c r="B706" s="7">
        <f>COUNTIFS(Sheet1!C:C,Sheet2!A706)</f>
        <v>1</v>
      </c>
    </row>
    <row r="707" spans="1:2" x14ac:dyDescent="0.25">
      <c r="A707" s="7" t="s">
        <v>1780</v>
      </c>
      <c r="B707" s="7">
        <f>COUNTIFS(Sheet1!C:C,Sheet2!A707)</f>
        <v>1</v>
      </c>
    </row>
    <row r="708" spans="1:2" x14ac:dyDescent="0.25">
      <c r="A708" s="7" t="s">
        <v>567</v>
      </c>
      <c r="B708" s="7">
        <f>COUNTIFS(Sheet1!C:C,Sheet2!A708)</f>
        <v>1</v>
      </c>
    </row>
    <row r="709" spans="1:2" x14ac:dyDescent="0.25">
      <c r="A709" s="7" t="s">
        <v>2144</v>
      </c>
      <c r="B709" s="7">
        <f>COUNTIFS(Sheet1!C:C,Sheet2!A709)</f>
        <v>1</v>
      </c>
    </row>
    <row r="710" spans="1:2" x14ac:dyDescent="0.25">
      <c r="A710" s="7" t="s">
        <v>707</v>
      </c>
      <c r="B710" s="7">
        <f>COUNTIFS(Sheet1!C:C,Sheet2!A710)</f>
        <v>1</v>
      </c>
    </row>
    <row r="711" spans="1:2" x14ac:dyDescent="0.25">
      <c r="A711" s="7" t="s">
        <v>152</v>
      </c>
      <c r="B711" s="7">
        <f>COUNTIFS(Sheet1!C:C,Sheet2!A711)</f>
        <v>1</v>
      </c>
    </row>
    <row r="712" spans="1:2" x14ac:dyDescent="0.25">
      <c r="A712" s="7" t="s">
        <v>2424</v>
      </c>
      <c r="B712" s="7">
        <f>COUNTIFS(Sheet1!C:C,Sheet2!A712)</f>
        <v>3</v>
      </c>
    </row>
    <row r="713" spans="1:2" x14ac:dyDescent="0.25">
      <c r="A713" s="7" t="s">
        <v>437</v>
      </c>
      <c r="B713" s="7">
        <f>COUNTIFS(Sheet1!C:C,Sheet2!A713)</f>
        <v>4</v>
      </c>
    </row>
    <row r="714" spans="1:2" x14ac:dyDescent="0.25">
      <c r="A714" s="7" t="s">
        <v>830</v>
      </c>
      <c r="B714" s="7">
        <f>COUNTIFS(Sheet1!C:C,Sheet2!A714)</f>
        <v>1</v>
      </c>
    </row>
    <row r="715" spans="1:2" x14ac:dyDescent="0.25">
      <c r="A715" s="7" t="s">
        <v>274</v>
      </c>
      <c r="B715" s="7">
        <f>COUNTIFS(Sheet1!C:C,Sheet2!A715)</f>
        <v>2</v>
      </c>
    </row>
    <row r="716" spans="1:2" x14ac:dyDescent="0.25">
      <c r="A716" s="7" t="s">
        <v>725</v>
      </c>
      <c r="B716" s="7">
        <f>COUNTIFS(Sheet1!C:C,Sheet2!A716)</f>
        <v>1</v>
      </c>
    </row>
    <row r="717" spans="1:2" x14ac:dyDescent="0.25">
      <c r="A717" s="7" t="s">
        <v>917</v>
      </c>
      <c r="B717" s="7">
        <f>COUNTIFS(Sheet1!C:C,Sheet2!A717)</f>
        <v>5</v>
      </c>
    </row>
    <row r="718" spans="1:2" x14ac:dyDescent="0.25">
      <c r="A718" s="7" t="s">
        <v>4264</v>
      </c>
      <c r="B718" s="7">
        <f>COUNTIFS(Sheet1!C:C,Sheet2!A718)</f>
        <v>1</v>
      </c>
    </row>
    <row r="719" spans="1:2" x14ac:dyDescent="0.25">
      <c r="A719" s="7" t="s">
        <v>1957</v>
      </c>
      <c r="B719" s="7">
        <f>COUNTIFS(Sheet1!C:C,Sheet2!A719)</f>
        <v>1</v>
      </c>
    </row>
    <row r="720" spans="1:2" x14ac:dyDescent="0.25">
      <c r="A720" s="7" t="s">
        <v>3635</v>
      </c>
      <c r="B720" s="7">
        <f>COUNTIFS(Sheet1!C:C,Sheet2!A720)</f>
        <v>1</v>
      </c>
    </row>
    <row r="721" spans="1:2" x14ac:dyDescent="0.25">
      <c r="A721" s="7" t="s">
        <v>3870</v>
      </c>
      <c r="B721" s="7">
        <f>COUNTIFS(Sheet1!C:C,Sheet2!A721)</f>
        <v>1</v>
      </c>
    </row>
    <row r="722" spans="1:2" x14ac:dyDescent="0.25">
      <c r="A722" s="7" t="s">
        <v>1473</v>
      </c>
      <c r="B722" s="7">
        <f>COUNTIFS(Sheet1!C:C,Sheet2!A722)</f>
        <v>2</v>
      </c>
    </row>
    <row r="723" spans="1:2" x14ac:dyDescent="0.25">
      <c r="A723" s="7" t="s">
        <v>850</v>
      </c>
      <c r="B723" s="7">
        <f>COUNTIFS(Sheet1!C:C,Sheet2!A723)</f>
        <v>1</v>
      </c>
    </row>
    <row r="724" spans="1:2" x14ac:dyDescent="0.25">
      <c r="A724" s="7" t="s">
        <v>1064</v>
      </c>
      <c r="B724" s="7">
        <f>COUNTIFS(Sheet1!C:C,Sheet2!A724)</f>
        <v>1</v>
      </c>
    </row>
    <row r="725" spans="1:2" x14ac:dyDescent="0.25">
      <c r="A725" s="7" t="s">
        <v>626</v>
      </c>
      <c r="B725" s="7">
        <f>COUNTIFS(Sheet1!C:C,Sheet2!A725)</f>
        <v>2</v>
      </c>
    </row>
    <row r="726" spans="1:2" x14ac:dyDescent="0.25">
      <c r="A726" s="7" t="s">
        <v>328</v>
      </c>
      <c r="B726" s="7">
        <f>COUNTIFS(Sheet1!C:C,Sheet2!A726)</f>
        <v>1</v>
      </c>
    </row>
    <row r="727" spans="1:2" x14ac:dyDescent="0.25">
      <c r="A727" s="7" t="s">
        <v>2115</v>
      </c>
      <c r="B727" s="7">
        <f>COUNTIFS(Sheet1!C:C,Sheet2!A727)</f>
        <v>1</v>
      </c>
    </row>
    <row r="728" spans="1:2" x14ac:dyDescent="0.25">
      <c r="A728" s="7" t="s">
        <v>3409</v>
      </c>
      <c r="B728" s="7">
        <f>COUNTIFS(Sheet1!C:C,Sheet2!A728)</f>
        <v>1</v>
      </c>
    </row>
    <row r="729" spans="1:2" x14ac:dyDescent="0.25">
      <c r="A729" s="7" t="s">
        <v>3445</v>
      </c>
      <c r="B729" s="7">
        <f>COUNTIFS(Sheet1!C:C,Sheet2!A729)</f>
        <v>1</v>
      </c>
    </row>
    <row r="730" spans="1:2" x14ac:dyDescent="0.25">
      <c r="A730" s="7" t="s">
        <v>1700</v>
      </c>
      <c r="B730" s="7">
        <f>COUNTIFS(Sheet1!C:C,Sheet2!A730)</f>
        <v>1</v>
      </c>
    </row>
    <row r="731" spans="1:2" x14ac:dyDescent="0.25">
      <c r="A731" s="7" t="s">
        <v>582</v>
      </c>
      <c r="B731" s="7">
        <f>COUNTIFS(Sheet1!C:C,Sheet2!A731)</f>
        <v>1</v>
      </c>
    </row>
    <row r="732" spans="1:2" x14ac:dyDescent="0.25">
      <c r="A732" s="7" t="s">
        <v>2963</v>
      </c>
      <c r="B732" s="7">
        <f>COUNTIFS(Sheet1!C:C,Sheet2!A732)</f>
        <v>1</v>
      </c>
    </row>
    <row r="733" spans="1:2" x14ac:dyDescent="0.25">
      <c r="A733" s="7" t="s">
        <v>4001</v>
      </c>
      <c r="B733" s="7">
        <f>COUNTIFS(Sheet1!C:C,Sheet2!A733)</f>
        <v>1</v>
      </c>
    </row>
    <row r="734" spans="1:2" x14ac:dyDescent="0.25">
      <c r="A734" s="7" t="s">
        <v>46</v>
      </c>
      <c r="B734" s="7">
        <f>COUNTIFS(Sheet1!C:C,Sheet2!A734)</f>
        <v>1</v>
      </c>
    </row>
    <row r="735" spans="1:2" x14ac:dyDescent="0.25">
      <c r="A735" s="7" t="s">
        <v>3616</v>
      </c>
      <c r="B735" s="7">
        <f>COUNTIFS(Sheet1!C:C,Sheet2!A735)</f>
        <v>1</v>
      </c>
    </row>
    <row r="736" spans="1:2" x14ac:dyDescent="0.25">
      <c r="A736" s="7" t="s">
        <v>3265</v>
      </c>
      <c r="B736" s="7">
        <f>COUNTIFS(Sheet1!C:C,Sheet2!A736)</f>
        <v>1</v>
      </c>
    </row>
    <row r="737" spans="1:2" x14ac:dyDescent="0.25">
      <c r="A737" s="7" t="s">
        <v>1186</v>
      </c>
      <c r="B737" s="7">
        <f>COUNTIFS(Sheet1!C:C,Sheet2!A737)</f>
        <v>1</v>
      </c>
    </row>
    <row r="738" spans="1:2" x14ac:dyDescent="0.25">
      <c r="A738" s="7" t="s">
        <v>2362</v>
      </c>
      <c r="B738" s="7">
        <f>COUNTIFS(Sheet1!C:C,Sheet2!A738)</f>
        <v>1</v>
      </c>
    </row>
    <row r="739" spans="1:2" x14ac:dyDescent="0.25">
      <c r="A739" s="7" t="s">
        <v>1679</v>
      </c>
      <c r="B739" s="7">
        <f>COUNTIFS(Sheet1!C:C,Sheet2!A739)</f>
        <v>1</v>
      </c>
    </row>
    <row r="740" spans="1:2" x14ac:dyDescent="0.25">
      <c r="A740" s="7" t="s">
        <v>766</v>
      </c>
      <c r="B740" s="7">
        <f>COUNTIFS(Sheet1!C:C,Sheet2!A740)</f>
        <v>1</v>
      </c>
    </row>
    <row r="741" spans="1:2" x14ac:dyDescent="0.25">
      <c r="A741" s="7" t="s">
        <v>1310</v>
      </c>
      <c r="B741" s="7">
        <f>COUNTIFS(Sheet1!C:C,Sheet2!A741)</f>
        <v>1</v>
      </c>
    </row>
    <row r="742" spans="1:2" x14ac:dyDescent="0.25">
      <c r="A742" s="7" t="s">
        <v>787</v>
      </c>
      <c r="B742" s="7">
        <f>COUNTIFS(Sheet1!C:C,Sheet2!A742)</f>
        <v>1</v>
      </c>
    </row>
    <row r="743" spans="1:2" x14ac:dyDescent="0.25">
      <c r="A743" s="7" t="s">
        <v>4190</v>
      </c>
      <c r="B743" s="7">
        <f>COUNTIFS(Sheet1!C:C,Sheet2!A743)</f>
        <v>1</v>
      </c>
    </row>
    <row r="744" spans="1:2" x14ac:dyDescent="0.25">
      <c r="A744" s="7" t="s">
        <v>1493</v>
      </c>
      <c r="B744" s="7">
        <f>COUNTIFS(Sheet1!C:C,Sheet2!A744)</f>
        <v>1</v>
      </c>
    </row>
    <row r="745" spans="1:2" x14ac:dyDescent="0.25">
      <c r="A745" s="7" t="s">
        <v>3045</v>
      </c>
      <c r="B745" s="7">
        <f>COUNTIFS(Sheet1!C:C,Sheet2!A745)</f>
        <v>1</v>
      </c>
    </row>
    <row r="746" spans="1:2" x14ac:dyDescent="0.25">
      <c r="A746" s="7" t="s">
        <v>3774</v>
      </c>
      <c r="B746" s="7">
        <f>COUNTIFS(Sheet1!C:C,Sheet2!A746)</f>
        <v>1</v>
      </c>
    </row>
    <row r="747" spans="1:2" x14ac:dyDescent="0.25">
      <c r="A747" s="7" t="s">
        <v>1514</v>
      </c>
      <c r="B747" s="7">
        <f>COUNTIFS(Sheet1!C:C,Sheet2!A747)</f>
        <v>1</v>
      </c>
    </row>
    <row r="748" spans="1:2" x14ac:dyDescent="0.25">
      <c r="A748" s="7" t="s">
        <v>3731</v>
      </c>
      <c r="B748" s="7">
        <f>COUNTIFS(Sheet1!C:C,Sheet2!A748)</f>
        <v>1</v>
      </c>
    </row>
    <row r="749" spans="1:2" x14ac:dyDescent="0.25">
      <c r="A749" s="7" t="s">
        <v>3807</v>
      </c>
      <c r="B749" s="7">
        <f>COUNTIFS(Sheet1!C:C,Sheet2!A749)</f>
        <v>1</v>
      </c>
    </row>
    <row r="750" spans="1:2" x14ac:dyDescent="0.25">
      <c r="A750" s="7" t="s">
        <v>1830</v>
      </c>
      <c r="B750" s="7">
        <f>COUNTIFS(Sheet1!C:C,Sheet2!A750)</f>
        <v>1</v>
      </c>
    </row>
    <row r="751" spans="1:2" x14ac:dyDescent="0.25">
      <c r="A751" s="7" t="s">
        <v>932</v>
      </c>
      <c r="B751" s="7">
        <f>COUNTIFS(Sheet1!C:C,Sheet2!A751)</f>
        <v>1</v>
      </c>
    </row>
    <row r="752" spans="1:2" x14ac:dyDescent="0.25">
      <c r="A752" s="7" t="s">
        <v>1143</v>
      </c>
      <c r="B752" s="7">
        <f>COUNTIFS(Sheet1!C:C,Sheet2!A752)</f>
        <v>1</v>
      </c>
    </row>
    <row r="753" spans="1:2" x14ac:dyDescent="0.25">
      <c r="A753" s="7" t="s">
        <v>3563</v>
      </c>
      <c r="B753" s="7">
        <f>COUNTIFS(Sheet1!C:C,Sheet2!A753)</f>
        <v>1</v>
      </c>
    </row>
    <row r="754" spans="1:2" x14ac:dyDescent="0.25">
      <c r="A754" s="7" t="s">
        <v>148</v>
      </c>
      <c r="B754" s="7">
        <f>COUNTIFS(Sheet1!C:C,Sheet2!A754)</f>
        <v>3</v>
      </c>
    </row>
    <row r="755" spans="1:2" x14ac:dyDescent="0.25">
      <c r="A755" s="7" t="s">
        <v>3903</v>
      </c>
      <c r="B755" s="7">
        <f>COUNTIFS(Sheet1!C:C,Sheet2!A755)</f>
        <v>1</v>
      </c>
    </row>
    <row r="756" spans="1:2" x14ac:dyDescent="0.25">
      <c r="A756" s="7" t="s">
        <v>131</v>
      </c>
      <c r="B756" s="7">
        <f>COUNTIFS(Sheet1!C:C,Sheet2!A756)</f>
        <v>1</v>
      </c>
    </row>
    <row r="757" spans="1:2" x14ac:dyDescent="0.25">
      <c r="A757" s="7" t="s">
        <v>1042</v>
      </c>
      <c r="B757" s="7">
        <f>COUNTIFS(Sheet1!C:C,Sheet2!A757)</f>
        <v>1</v>
      </c>
    </row>
    <row r="758" spans="1:2" x14ac:dyDescent="0.25">
      <c r="A758" s="7" t="s">
        <v>571</v>
      </c>
      <c r="B758" s="7">
        <f>COUNTIFS(Sheet1!C:C,Sheet2!A758)</f>
        <v>1</v>
      </c>
    </row>
    <row r="759" spans="1:2" x14ac:dyDescent="0.25">
      <c r="A759" s="7" t="s">
        <v>814</v>
      </c>
      <c r="B759" s="7">
        <f>COUNTIFS(Sheet1!C:C,Sheet2!A759)</f>
        <v>1</v>
      </c>
    </row>
    <row r="760" spans="1:2" x14ac:dyDescent="0.25">
      <c r="A760" s="7" t="s">
        <v>3162</v>
      </c>
      <c r="B760" s="7">
        <f>COUNTIFS(Sheet1!C:C,Sheet2!A760)</f>
        <v>1</v>
      </c>
    </row>
    <row r="761" spans="1:2" x14ac:dyDescent="0.25">
      <c r="A761" s="7" t="s">
        <v>4074</v>
      </c>
      <c r="B761" s="7">
        <f>COUNTIFS(Sheet1!C:C,Sheet2!A761)</f>
        <v>1</v>
      </c>
    </row>
    <row r="762" spans="1:2" x14ac:dyDescent="0.25">
      <c r="A762" s="7" t="s">
        <v>3851</v>
      </c>
      <c r="B762" s="7">
        <f>COUNTIFS(Sheet1!C:C,Sheet2!A762)</f>
        <v>1</v>
      </c>
    </row>
    <row r="763" spans="1:2" x14ac:dyDescent="0.25">
      <c r="A763" s="7" t="s">
        <v>4317</v>
      </c>
      <c r="B763" s="7">
        <f>COUNTIFS(Sheet1!C:C,Sheet2!A763)</f>
        <v>1</v>
      </c>
    </row>
    <row r="764" spans="1:2" x14ac:dyDescent="0.25">
      <c r="A764" s="7" t="s">
        <v>1239</v>
      </c>
      <c r="B764" s="7">
        <f>COUNTIFS(Sheet1!C:C,Sheet2!A764)</f>
        <v>1</v>
      </c>
    </row>
    <row r="765" spans="1:2" x14ac:dyDescent="0.25">
      <c r="A765" s="7" t="s">
        <v>1941</v>
      </c>
      <c r="B765" s="7">
        <f>COUNTIFS(Sheet1!C:C,Sheet2!A765)</f>
        <v>1</v>
      </c>
    </row>
    <row r="766" spans="1:2" x14ac:dyDescent="0.25">
      <c r="A766" s="7" t="s">
        <v>2225</v>
      </c>
      <c r="B766" s="7">
        <f>COUNTIFS(Sheet1!C:C,Sheet2!A766)</f>
        <v>1</v>
      </c>
    </row>
    <row r="767" spans="1:2" x14ac:dyDescent="0.25">
      <c r="A767" s="7" t="s">
        <v>2432</v>
      </c>
      <c r="B767" s="7">
        <f>COUNTIFS(Sheet1!C:C,Sheet2!A767)</f>
        <v>1</v>
      </c>
    </row>
    <row r="768" spans="1:2" x14ac:dyDescent="0.25">
      <c r="A768" s="7" t="s">
        <v>2830</v>
      </c>
      <c r="B768" s="7">
        <f>COUNTIFS(Sheet1!C:C,Sheet2!A768)</f>
        <v>1</v>
      </c>
    </row>
    <row r="769" spans="1:2" x14ac:dyDescent="0.25">
      <c r="A769" s="7" t="s">
        <v>335</v>
      </c>
      <c r="B769" s="7">
        <f>COUNTIFS(Sheet1!C:C,Sheet2!A769)</f>
        <v>1</v>
      </c>
    </row>
    <row r="770" spans="1:2" x14ac:dyDescent="0.25">
      <c r="A770" s="7" t="s">
        <v>1906</v>
      </c>
      <c r="B770" s="7">
        <f>COUNTIFS(Sheet1!C:C,Sheet2!A770)</f>
        <v>1</v>
      </c>
    </row>
    <row r="771" spans="1:2" x14ac:dyDescent="0.25">
      <c r="A771" s="7" t="s">
        <v>4244</v>
      </c>
      <c r="B771" s="7">
        <f>COUNTIFS(Sheet1!C:C,Sheet2!A771)</f>
        <v>1</v>
      </c>
    </row>
    <row r="772" spans="1:2" x14ac:dyDescent="0.25">
      <c r="A772" s="7" t="s">
        <v>2470</v>
      </c>
      <c r="B772" s="7">
        <f>COUNTIFS(Sheet1!C:C,Sheet2!A772)</f>
        <v>1</v>
      </c>
    </row>
    <row r="773" spans="1:2" x14ac:dyDescent="0.25">
      <c r="A773" s="7" t="s">
        <v>3095</v>
      </c>
      <c r="B773" s="7">
        <f>COUNTIFS(Sheet1!C:C,Sheet2!A773)</f>
        <v>1</v>
      </c>
    </row>
    <row r="774" spans="1:2" x14ac:dyDescent="0.25">
      <c r="A774" s="7" t="s">
        <v>247</v>
      </c>
      <c r="B774" s="7">
        <f>COUNTIFS(Sheet1!C:C,Sheet2!A774)</f>
        <v>2</v>
      </c>
    </row>
    <row r="775" spans="1:2" x14ac:dyDescent="0.25">
      <c r="A775" s="7" t="s">
        <v>354</v>
      </c>
      <c r="B775" s="7">
        <f>COUNTIFS(Sheet1!C:C,Sheet2!A775)</f>
        <v>1</v>
      </c>
    </row>
    <row r="776" spans="1:2" x14ac:dyDescent="0.25">
      <c r="A776" s="7" t="s">
        <v>3569</v>
      </c>
      <c r="B776" s="7">
        <f>COUNTIFS(Sheet1!C:C,Sheet2!A776)</f>
        <v>1</v>
      </c>
    </row>
    <row r="777" spans="1:2" x14ac:dyDescent="0.25">
      <c r="A777" s="7" t="s">
        <v>278</v>
      </c>
      <c r="B777" s="7">
        <f>COUNTIFS(Sheet1!C:C,Sheet2!A777)</f>
        <v>2</v>
      </c>
    </row>
    <row r="778" spans="1:2" x14ac:dyDescent="0.25">
      <c r="A778" s="7" t="s">
        <v>2702</v>
      </c>
      <c r="B778" s="7">
        <f>COUNTIFS(Sheet1!C:C,Sheet2!A778)</f>
        <v>1</v>
      </c>
    </row>
    <row r="779" spans="1:2" x14ac:dyDescent="0.25">
      <c r="A779" s="7" t="s">
        <v>1486</v>
      </c>
      <c r="B779" s="7">
        <f>COUNTIFS(Sheet1!C:C,Sheet2!A779)</f>
        <v>1</v>
      </c>
    </row>
    <row r="780" spans="1:2" x14ac:dyDescent="0.25">
      <c r="A780" s="7" t="s">
        <v>1645</v>
      </c>
      <c r="B780" s="7">
        <f>COUNTIFS(Sheet1!C:C,Sheet2!A780)</f>
        <v>2</v>
      </c>
    </row>
    <row r="781" spans="1:2" x14ac:dyDescent="0.25">
      <c r="A781" s="7" t="s">
        <v>3355</v>
      </c>
      <c r="B781" s="7">
        <f>COUNTIFS(Sheet1!C:C,Sheet2!A781)</f>
        <v>1</v>
      </c>
    </row>
    <row r="782" spans="1:2" x14ac:dyDescent="0.25">
      <c r="A782" s="7" t="s">
        <v>778</v>
      </c>
      <c r="B782" s="7">
        <f>COUNTIFS(Sheet1!C:C,Sheet2!A782)</f>
        <v>1</v>
      </c>
    </row>
    <row r="783" spans="1:2" x14ac:dyDescent="0.25">
      <c r="A783" s="7" t="s">
        <v>338</v>
      </c>
      <c r="B783" s="7">
        <f>COUNTIFS(Sheet1!C:C,Sheet2!A783)</f>
        <v>1</v>
      </c>
    </row>
    <row r="784" spans="1:2" x14ac:dyDescent="0.25">
      <c r="A784" s="7" t="s">
        <v>648</v>
      </c>
      <c r="B784" s="7">
        <f>COUNTIFS(Sheet1!C:C,Sheet2!A784)</f>
        <v>1</v>
      </c>
    </row>
    <row r="785" spans="1:2" x14ac:dyDescent="0.25">
      <c r="A785" s="7" t="s">
        <v>2185</v>
      </c>
      <c r="B785" s="7">
        <f>COUNTIFS(Sheet1!C:C,Sheet2!A785)</f>
        <v>1</v>
      </c>
    </row>
    <row r="786" spans="1:2" x14ac:dyDescent="0.25">
      <c r="A786" s="7" t="s">
        <v>3402</v>
      </c>
      <c r="B786" s="7">
        <f>COUNTIFS(Sheet1!C:C,Sheet2!A786)</f>
        <v>1</v>
      </c>
    </row>
    <row r="787" spans="1:2" x14ac:dyDescent="0.25">
      <c r="A787" s="7" t="s">
        <v>1608</v>
      </c>
      <c r="B787" s="7">
        <f>COUNTIFS(Sheet1!C:C,Sheet2!A787)</f>
        <v>1</v>
      </c>
    </row>
    <row r="788" spans="1:2" x14ac:dyDescent="0.25">
      <c r="A788" s="7" t="s">
        <v>3687</v>
      </c>
      <c r="B788" s="7">
        <f>COUNTIFS(Sheet1!C:C,Sheet2!A788)</f>
        <v>2</v>
      </c>
    </row>
    <row r="789" spans="1:2" x14ac:dyDescent="0.25">
      <c r="A789" s="7" t="s">
        <v>19</v>
      </c>
      <c r="B789" s="7">
        <f>COUNTIFS(Sheet1!C:C,Sheet2!A789)</f>
        <v>2</v>
      </c>
    </row>
    <row r="790" spans="1:2" x14ac:dyDescent="0.25">
      <c r="A790" s="7" t="s">
        <v>3640</v>
      </c>
      <c r="B790" s="7">
        <f>COUNTIFS(Sheet1!C:C,Sheet2!A790)</f>
        <v>1</v>
      </c>
    </row>
    <row r="791" spans="1:2" x14ac:dyDescent="0.25">
      <c r="A791" s="7" t="s">
        <v>1129</v>
      </c>
      <c r="B791" s="7">
        <f>COUNTIFS(Sheet1!C:C,Sheet2!A791)</f>
        <v>1</v>
      </c>
    </row>
    <row r="792" spans="1:2" x14ac:dyDescent="0.25">
      <c r="A792" s="7" t="s">
        <v>3701</v>
      </c>
      <c r="B792" s="7">
        <f>COUNTIFS(Sheet1!C:C,Sheet2!A792)</f>
        <v>1</v>
      </c>
    </row>
    <row r="793" spans="1:2" x14ac:dyDescent="0.25">
      <c r="A793" s="7" t="s">
        <v>99</v>
      </c>
      <c r="B793" s="7">
        <f>COUNTIFS(Sheet1!C:C,Sheet2!A793)</f>
        <v>1</v>
      </c>
    </row>
    <row r="794" spans="1:2" x14ac:dyDescent="0.25">
      <c r="A794" s="7" t="s">
        <v>210</v>
      </c>
      <c r="B794" s="7">
        <f>COUNTIFS(Sheet1!C:C,Sheet2!A794)</f>
        <v>1</v>
      </c>
    </row>
    <row r="795" spans="1:2" x14ac:dyDescent="0.25">
      <c r="A795" s="7" t="s">
        <v>2816</v>
      </c>
      <c r="B795" s="7">
        <f>COUNTIFS(Sheet1!C:C,Sheet2!A795)</f>
        <v>1</v>
      </c>
    </row>
    <row r="796" spans="1:2" x14ac:dyDescent="0.25">
      <c r="A796" s="7" t="s">
        <v>1895</v>
      </c>
      <c r="B796" s="7">
        <f>COUNTIFS(Sheet1!C:C,Sheet2!A796)</f>
        <v>2</v>
      </c>
    </row>
    <row r="797" spans="1:2" x14ac:dyDescent="0.25">
      <c r="A797" s="7" t="s">
        <v>3741</v>
      </c>
      <c r="B797" s="7">
        <f>COUNTIFS(Sheet1!C:C,Sheet2!A797)</f>
        <v>1</v>
      </c>
    </row>
    <row r="798" spans="1:2" x14ac:dyDescent="0.25">
      <c r="A798" s="7" t="s">
        <v>4181</v>
      </c>
      <c r="B798" s="7">
        <f>COUNTIFS(Sheet1!C:C,Sheet2!A798)</f>
        <v>1</v>
      </c>
    </row>
    <row r="799" spans="1:2" x14ac:dyDescent="0.25">
      <c r="A799" s="7" t="s">
        <v>4261</v>
      </c>
      <c r="B799" s="7">
        <f>COUNTIFS(Sheet1!C:C,Sheet2!A799)</f>
        <v>1</v>
      </c>
    </row>
    <row r="800" spans="1:2" x14ac:dyDescent="0.25">
      <c r="A800" s="7" t="s">
        <v>3670</v>
      </c>
      <c r="B800" s="7">
        <f>COUNTIFS(Sheet1!C:C,Sheet2!A800)</f>
        <v>1</v>
      </c>
    </row>
    <row r="801" spans="1:2" x14ac:dyDescent="0.25">
      <c r="A801" s="7" t="s">
        <v>1800</v>
      </c>
      <c r="B801" s="7">
        <f>COUNTIFS(Sheet1!C:C,Sheet2!A801)</f>
        <v>1</v>
      </c>
    </row>
    <row r="802" spans="1:2" x14ac:dyDescent="0.25">
      <c r="A802" s="7" t="s">
        <v>1574</v>
      </c>
      <c r="B802" s="7">
        <f>COUNTIFS(Sheet1!C:C,Sheet2!A802)</f>
        <v>1</v>
      </c>
    </row>
    <row r="803" spans="1:2" x14ac:dyDescent="0.25">
      <c r="A803" s="7" t="s">
        <v>1249</v>
      </c>
      <c r="B803" s="7">
        <f>COUNTIFS(Sheet1!C:C,Sheet2!A803)</f>
        <v>1</v>
      </c>
    </row>
    <row r="804" spans="1:2" x14ac:dyDescent="0.25">
      <c r="A804" s="7" t="s">
        <v>3776</v>
      </c>
      <c r="B804" s="7">
        <f>COUNTIFS(Sheet1!C:C,Sheet2!A804)</f>
        <v>1</v>
      </c>
    </row>
    <row r="805" spans="1:2" x14ac:dyDescent="0.25">
      <c r="A805" s="7" t="s">
        <v>2825</v>
      </c>
      <c r="B805" s="7">
        <f>COUNTIFS(Sheet1!C:C,Sheet2!A805)</f>
        <v>1</v>
      </c>
    </row>
    <row r="806" spans="1:2" x14ac:dyDescent="0.25">
      <c r="A806" s="7" t="s">
        <v>1682</v>
      </c>
      <c r="B806" s="7">
        <f>COUNTIFS(Sheet1!C:C,Sheet2!A806)</f>
        <v>1</v>
      </c>
    </row>
    <row r="807" spans="1:2" x14ac:dyDescent="0.25">
      <c r="A807" s="7" t="s">
        <v>266</v>
      </c>
      <c r="B807" s="7">
        <f>COUNTIFS(Sheet1!C:C,Sheet2!A807)</f>
        <v>1</v>
      </c>
    </row>
    <row r="808" spans="1:2" x14ac:dyDescent="0.25">
      <c r="A808" s="7" t="s">
        <v>2062</v>
      </c>
      <c r="B808" s="7">
        <f>COUNTIFS(Sheet1!C:C,Sheet2!A808)</f>
        <v>1</v>
      </c>
    </row>
    <row r="809" spans="1:2" x14ac:dyDescent="0.25">
      <c r="A809" s="7" t="s">
        <v>3223</v>
      </c>
      <c r="B809" s="7">
        <f>COUNTIFS(Sheet1!C:C,Sheet2!A809)</f>
        <v>1</v>
      </c>
    </row>
    <row r="810" spans="1:2" x14ac:dyDescent="0.25">
      <c r="A810" s="7" t="s">
        <v>3385</v>
      </c>
      <c r="B810" s="7">
        <f>COUNTIFS(Sheet1!C:C,Sheet2!A810)</f>
        <v>1</v>
      </c>
    </row>
    <row r="811" spans="1:2" x14ac:dyDescent="0.25">
      <c r="A811" s="7" t="s">
        <v>3895</v>
      </c>
      <c r="B811" s="7">
        <f>COUNTIFS(Sheet1!C:C,Sheet2!A811)</f>
        <v>1</v>
      </c>
    </row>
    <row r="812" spans="1:2" x14ac:dyDescent="0.25">
      <c r="A812" s="7" t="s">
        <v>783</v>
      </c>
      <c r="B812" s="7">
        <f>COUNTIFS(Sheet1!C:C,Sheet2!A812)</f>
        <v>1</v>
      </c>
    </row>
    <row r="813" spans="1:2" x14ac:dyDescent="0.25">
      <c r="A813" s="7" t="s">
        <v>3547</v>
      </c>
      <c r="B813" s="7">
        <f>COUNTIFS(Sheet1!C:C,Sheet2!A813)</f>
        <v>1</v>
      </c>
    </row>
    <row r="814" spans="1:2" x14ac:dyDescent="0.25">
      <c r="A814" s="7" t="s">
        <v>1657</v>
      </c>
      <c r="B814" s="7">
        <f>COUNTIFS(Sheet1!C:C,Sheet2!A814)</f>
        <v>1</v>
      </c>
    </row>
    <row r="815" spans="1:2" x14ac:dyDescent="0.25">
      <c r="A815" s="7" t="s">
        <v>2239</v>
      </c>
      <c r="B815" s="7">
        <f>COUNTIFS(Sheet1!C:C,Sheet2!A815)</f>
        <v>1</v>
      </c>
    </row>
    <row r="816" spans="1:2" x14ac:dyDescent="0.25">
      <c r="A816" s="7" t="s">
        <v>1710</v>
      </c>
      <c r="B816" s="7">
        <f>COUNTIFS(Sheet1!C:C,Sheet2!A816)</f>
        <v>1</v>
      </c>
    </row>
    <row r="817" spans="1:2" x14ac:dyDescent="0.25">
      <c r="A817" s="7" t="s">
        <v>992</v>
      </c>
      <c r="B817" s="7">
        <f>COUNTIFS(Sheet1!C:C,Sheet2!A817)</f>
        <v>1</v>
      </c>
    </row>
    <row r="818" spans="1:2" x14ac:dyDescent="0.25">
      <c r="A818" s="7" t="s">
        <v>721</v>
      </c>
      <c r="B818" s="7">
        <f>COUNTIFS(Sheet1!C:C,Sheet2!A818)</f>
        <v>1</v>
      </c>
    </row>
    <row r="819" spans="1:2" x14ac:dyDescent="0.25">
      <c r="A819" s="7" t="s">
        <v>1382</v>
      </c>
      <c r="B819" s="7">
        <f>COUNTIFS(Sheet1!C:C,Sheet2!A819)</f>
        <v>1</v>
      </c>
    </row>
    <row r="820" spans="1:2" x14ac:dyDescent="0.25">
      <c r="A820" s="7" t="s">
        <v>4313</v>
      </c>
      <c r="B820" s="7">
        <f>COUNTIFS(Sheet1!C:C,Sheet2!A820)</f>
        <v>1</v>
      </c>
    </row>
    <row r="821" spans="1:2" x14ac:dyDescent="0.25">
      <c r="A821" s="7" t="s">
        <v>3951</v>
      </c>
      <c r="B821" s="7">
        <f>COUNTIFS(Sheet1!C:C,Sheet2!A821)</f>
        <v>1</v>
      </c>
    </row>
    <row r="822" spans="1:2" x14ac:dyDescent="0.25">
      <c r="A822" s="7" t="s">
        <v>633</v>
      </c>
      <c r="B822" s="7">
        <f>COUNTIFS(Sheet1!C:C,Sheet2!A822)</f>
        <v>1</v>
      </c>
    </row>
    <row r="823" spans="1:2" x14ac:dyDescent="0.25">
      <c r="A823" s="7" t="s">
        <v>3857</v>
      </c>
      <c r="B823" s="7">
        <f>COUNTIFS(Sheet1!C:C,Sheet2!A823)</f>
        <v>1</v>
      </c>
    </row>
    <row r="824" spans="1:2" x14ac:dyDescent="0.25">
      <c r="A824" s="7" t="s">
        <v>3875</v>
      </c>
      <c r="B824" s="7">
        <f>COUNTIFS(Sheet1!C:C,Sheet2!A824)</f>
        <v>1</v>
      </c>
    </row>
    <row r="825" spans="1:2" x14ac:dyDescent="0.25">
      <c r="A825" s="7" t="s">
        <v>109</v>
      </c>
      <c r="B825" s="7">
        <f>COUNTIFS(Sheet1!C:C,Sheet2!A825)</f>
        <v>1</v>
      </c>
    </row>
    <row r="826" spans="1:2" x14ac:dyDescent="0.25">
      <c r="A826" s="7" t="s">
        <v>1859</v>
      </c>
      <c r="B826" s="7">
        <f>COUNTIFS(Sheet1!C:C,Sheet2!A826)</f>
        <v>1</v>
      </c>
    </row>
    <row r="827" spans="1:2" x14ac:dyDescent="0.25">
      <c r="A827" s="7" t="s">
        <v>2772</v>
      </c>
      <c r="B827" s="7">
        <f>COUNTIFS(Sheet1!C:C,Sheet2!A827)</f>
        <v>1</v>
      </c>
    </row>
    <row r="828" spans="1:2" x14ac:dyDescent="0.25">
      <c r="A828" s="7" t="s">
        <v>1029</v>
      </c>
      <c r="B828" s="7">
        <f>COUNTIFS(Sheet1!C:C,Sheet2!A828)</f>
        <v>1</v>
      </c>
    </row>
    <row r="829" spans="1:2" x14ac:dyDescent="0.25">
      <c r="A829" s="7" t="s">
        <v>1507</v>
      </c>
      <c r="B829" s="7">
        <f>COUNTIFS(Sheet1!C:C,Sheet2!A829)</f>
        <v>1</v>
      </c>
    </row>
    <row r="830" spans="1:2" x14ac:dyDescent="0.25">
      <c r="A830" s="7" t="s">
        <v>2324</v>
      </c>
      <c r="B830" s="7">
        <f>COUNTIFS(Sheet1!C:C,Sheet2!A830)</f>
        <v>3</v>
      </c>
    </row>
    <row r="831" spans="1:2" x14ac:dyDescent="0.25">
      <c r="A831" s="7" t="s">
        <v>1169</v>
      </c>
      <c r="B831" s="7">
        <f>COUNTIFS(Sheet1!C:C,Sheet2!A831)</f>
        <v>1</v>
      </c>
    </row>
    <row r="832" spans="1:2" x14ac:dyDescent="0.25">
      <c r="A832" s="7" t="s">
        <v>593</v>
      </c>
      <c r="B832" s="7">
        <f>COUNTIFS(Sheet1!C:C,Sheet2!A832)</f>
        <v>1</v>
      </c>
    </row>
    <row r="833" spans="1:2" x14ac:dyDescent="0.25">
      <c r="A833" s="7" t="s">
        <v>1926</v>
      </c>
      <c r="B833" s="7">
        <f>COUNTIFS(Sheet1!C:C,Sheet2!A833)</f>
        <v>2</v>
      </c>
    </row>
    <row r="834" spans="1:2" x14ac:dyDescent="0.25">
      <c r="A834" s="7" t="s">
        <v>2092</v>
      </c>
      <c r="B834" s="7">
        <f>COUNTIFS(Sheet1!C:C,Sheet2!A834)</f>
        <v>1</v>
      </c>
    </row>
    <row r="835" spans="1:2" x14ac:dyDescent="0.25">
      <c r="A835" s="7" t="s">
        <v>1196</v>
      </c>
      <c r="B835" s="7">
        <f>COUNTIFS(Sheet1!C:C,Sheet2!A835)</f>
        <v>1</v>
      </c>
    </row>
    <row r="836" spans="1:2" x14ac:dyDescent="0.25">
      <c r="A836" s="7" t="s">
        <v>1601</v>
      </c>
      <c r="B836" s="7">
        <f>COUNTIFS(Sheet1!C:C,Sheet2!A836)</f>
        <v>1</v>
      </c>
    </row>
    <row r="837" spans="1:2" x14ac:dyDescent="0.25">
      <c r="A837" s="7" t="s">
        <v>1176</v>
      </c>
      <c r="B837" s="7">
        <f>COUNTIFS(Sheet1!C:C,Sheet2!A837)</f>
        <v>1</v>
      </c>
    </row>
    <row r="838" spans="1:2" x14ac:dyDescent="0.25">
      <c r="A838" s="7" t="s">
        <v>3076</v>
      </c>
      <c r="B838" s="7">
        <f>COUNTIFS(Sheet1!C:C,Sheet2!A838)</f>
        <v>1</v>
      </c>
    </row>
    <row r="839" spans="1:2" x14ac:dyDescent="0.25">
      <c r="A839" s="7" t="s">
        <v>1123</v>
      </c>
      <c r="B839" s="7">
        <f>COUNTIFS(Sheet1!C:C,Sheet2!A839)</f>
        <v>2</v>
      </c>
    </row>
    <row r="840" spans="1:2" x14ac:dyDescent="0.25">
      <c r="A840" s="7" t="s">
        <v>3840</v>
      </c>
      <c r="B840" s="7">
        <f>COUNTIFS(Sheet1!C:C,Sheet2!A840)</f>
        <v>1</v>
      </c>
    </row>
    <row r="841" spans="1:2" x14ac:dyDescent="0.25">
      <c r="A841" s="7" t="s">
        <v>3715</v>
      </c>
      <c r="B841" s="7">
        <f>COUNTIFS(Sheet1!C:C,Sheet2!A841)</f>
        <v>1</v>
      </c>
    </row>
    <row r="842" spans="1:2" x14ac:dyDescent="0.25">
      <c r="A842" s="7" t="s">
        <v>1767</v>
      </c>
      <c r="B842" s="7">
        <f>COUNTIFS(Sheet1!C:C,Sheet2!A842)</f>
        <v>1</v>
      </c>
    </row>
    <row r="843" spans="1:2" x14ac:dyDescent="0.25">
      <c r="A843" s="7" t="s">
        <v>1547</v>
      </c>
      <c r="B843" s="7">
        <f>COUNTIFS(Sheet1!C:C,Sheet2!A843)</f>
        <v>1</v>
      </c>
    </row>
    <row r="844" spans="1:2" x14ac:dyDescent="0.25">
      <c r="A844" s="7" t="s">
        <v>1817</v>
      </c>
      <c r="B844" s="7">
        <f>COUNTIFS(Sheet1!C:C,Sheet2!A844)</f>
        <v>1</v>
      </c>
    </row>
    <row r="845" spans="1:2" x14ac:dyDescent="0.25">
      <c r="A845" s="7" t="s">
        <v>1577</v>
      </c>
      <c r="B845" s="7">
        <f>COUNTIFS(Sheet1!C:C,Sheet2!A845)</f>
        <v>1</v>
      </c>
    </row>
    <row r="846" spans="1:2" x14ac:dyDescent="0.25">
      <c r="A846" s="7" t="s">
        <v>1585</v>
      </c>
      <c r="B846" s="7">
        <f>COUNTIFS(Sheet1!C:C,Sheet2!A846)</f>
        <v>1</v>
      </c>
    </row>
    <row r="847" spans="1:2" x14ac:dyDescent="0.25">
      <c r="A847" s="7" t="s">
        <v>27</v>
      </c>
      <c r="B847" s="7">
        <f>COUNTIFS(Sheet1!C:C,Sheet2!A847)</f>
        <v>12</v>
      </c>
    </row>
    <row r="848" spans="1:2" x14ac:dyDescent="0.25">
      <c r="A848" s="7" t="s">
        <v>2202</v>
      </c>
      <c r="B848" s="7">
        <f>COUNTIFS(Sheet1!C:C,Sheet2!A848)</f>
        <v>1</v>
      </c>
    </row>
    <row r="849" spans="1:2" x14ac:dyDescent="0.25">
      <c r="A849" s="7" t="s">
        <v>1207</v>
      </c>
      <c r="B849" s="7">
        <f>COUNTIFS(Sheet1!C:C,Sheet2!A849)</f>
        <v>1</v>
      </c>
    </row>
    <row r="850" spans="1:2" x14ac:dyDescent="0.25">
      <c r="A850" s="7" t="s">
        <v>2306</v>
      </c>
      <c r="B850" s="7">
        <f>COUNTIFS(Sheet1!C:C,Sheet2!A850)</f>
        <v>1</v>
      </c>
    </row>
    <row r="851" spans="1:2" x14ac:dyDescent="0.25">
      <c r="A851" s="7" t="s">
        <v>2359</v>
      </c>
      <c r="B851" s="7">
        <f>COUNTIFS(Sheet1!C:C,Sheet2!A851)</f>
        <v>2</v>
      </c>
    </row>
    <row r="852" spans="1:2" x14ac:dyDescent="0.25">
      <c r="A852" s="7" t="s">
        <v>3398</v>
      </c>
      <c r="B852" s="7">
        <f>COUNTIFS(Sheet1!C:C,Sheet2!A852)</f>
        <v>1</v>
      </c>
    </row>
    <row r="853" spans="1:2" x14ac:dyDescent="0.25">
      <c r="A853" s="7" t="s">
        <v>508</v>
      </c>
      <c r="B853" s="7">
        <f>COUNTIFS(Sheet1!C:C,Sheet2!A853)</f>
        <v>9</v>
      </c>
    </row>
    <row r="854" spans="1:2" x14ac:dyDescent="0.25">
      <c r="A854" s="7" t="s">
        <v>962</v>
      </c>
      <c r="B854" s="7">
        <f>COUNTIFS(Sheet1!C:C,Sheet2!A854)</f>
        <v>2</v>
      </c>
    </row>
    <row r="855" spans="1:2" x14ac:dyDescent="0.25">
      <c r="A855" s="7" t="s">
        <v>2888</v>
      </c>
      <c r="B855" s="7">
        <f>COUNTIFS(Sheet1!C:C,Sheet2!A855)</f>
        <v>1</v>
      </c>
    </row>
    <row r="856" spans="1:2" x14ac:dyDescent="0.25">
      <c r="A856" s="7" t="s">
        <v>1917</v>
      </c>
      <c r="B856" s="7">
        <f>COUNTIFS(Sheet1!C:C,Sheet2!A856)</f>
        <v>1</v>
      </c>
    </row>
    <row r="857" spans="1:2" x14ac:dyDescent="0.25">
      <c r="A857" s="7" t="s">
        <v>2116</v>
      </c>
      <c r="B857" s="7">
        <f>COUNTIFS(Sheet1!C:C,Sheet2!A857)</f>
        <v>1</v>
      </c>
    </row>
    <row r="858" spans="1:2" x14ac:dyDescent="0.25">
      <c r="A858" s="7" t="s">
        <v>3926</v>
      </c>
      <c r="B858" s="7">
        <f>COUNTIFS(Sheet1!C:C,Sheet2!A858)</f>
        <v>2</v>
      </c>
    </row>
    <row r="859" spans="1:2" x14ac:dyDescent="0.25">
      <c r="A859" s="7" t="s">
        <v>1806</v>
      </c>
      <c r="B859" s="7">
        <f>COUNTIFS(Sheet1!C:C,Sheet2!A859)</f>
        <v>1</v>
      </c>
    </row>
    <row r="860" spans="1:2" x14ac:dyDescent="0.25">
      <c r="A860" s="7" t="s">
        <v>1427</v>
      </c>
      <c r="B860" s="7">
        <f>COUNTIFS(Sheet1!C:C,Sheet2!A860)</f>
        <v>1</v>
      </c>
    </row>
    <row r="861" spans="1:2" x14ac:dyDescent="0.25">
      <c r="A861" s="7" t="s">
        <v>3916</v>
      </c>
      <c r="B861" s="7">
        <f>COUNTIFS(Sheet1!C:C,Sheet2!A861)</f>
        <v>1</v>
      </c>
    </row>
    <row r="862" spans="1:2" x14ac:dyDescent="0.25">
      <c r="A862" s="7" t="s">
        <v>3882</v>
      </c>
      <c r="B862" s="7">
        <f>COUNTIFS(Sheet1!C:C,Sheet2!A862)</f>
        <v>1</v>
      </c>
    </row>
    <row r="863" spans="1:2" x14ac:dyDescent="0.25">
      <c r="A863" s="7" t="s">
        <v>3941</v>
      </c>
      <c r="B863" s="7">
        <f>COUNTIFS(Sheet1!C:C,Sheet2!A863)</f>
        <v>1</v>
      </c>
    </row>
    <row r="864" spans="1:2" x14ac:dyDescent="0.25">
      <c r="A864" s="7" t="s">
        <v>3427</v>
      </c>
      <c r="B864" s="7">
        <f>COUNTIFS(Sheet1!C:C,Sheet2!A864)</f>
        <v>1</v>
      </c>
    </row>
    <row r="865" spans="1:2" x14ac:dyDescent="0.25">
      <c r="A865" s="7" t="s">
        <v>3723</v>
      </c>
      <c r="B865" s="7">
        <f>COUNTIFS(Sheet1!C:C,Sheet2!A865)</f>
        <v>1</v>
      </c>
    </row>
    <row r="866" spans="1:2" x14ac:dyDescent="0.25">
      <c r="A866" s="7" t="s">
        <v>2298</v>
      </c>
      <c r="B866" s="7">
        <f>COUNTIFS(Sheet1!C:C,Sheet2!A866)</f>
        <v>1</v>
      </c>
    </row>
    <row r="867" spans="1:2" x14ac:dyDescent="0.25">
      <c r="A867" s="7" t="s">
        <v>2956</v>
      </c>
      <c r="B867" s="7">
        <f>COUNTIFS(Sheet1!C:C,Sheet2!A867)</f>
        <v>1</v>
      </c>
    </row>
    <row r="868" spans="1:2" x14ac:dyDescent="0.25">
      <c r="A868" s="7" t="s">
        <v>4119</v>
      </c>
      <c r="B868" s="7">
        <f>COUNTIFS(Sheet1!C:C,Sheet2!A868)</f>
        <v>1</v>
      </c>
    </row>
    <row r="869" spans="1:2" x14ac:dyDescent="0.25">
      <c r="A869" s="7" t="s">
        <v>2418</v>
      </c>
      <c r="B869" s="7">
        <f>COUNTIFS(Sheet1!C:C,Sheet2!A869)</f>
        <v>1</v>
      </c>
    </row>
    <row r="870" spans="1:2" x14ac:dyDescent="0.25">
      <c r="A870" s="7" t="s">
        <v>948</v>
      </c>
      <c r="B870" s="7">
        <f>COUNTIFS(Sheet1!C:C,Sheet2!A870)</f>
        <v>1</v>
      </c>
    </row>
    <row r="871" spans="1:2" x14ac:dyDescent="0.25">
      <c r="A871" s="7" t="s">
        <v>459</v>
      </c>
      <c r="B871" s="7">
        <f>COUNTIFS(Sheet1!C:C,Sheet2!A871)</f>
        <v>1</v>
      </c>
    </row>
    <row r="872" spans="1:2" x14ac:dyDescent="0.25">
      <c r="A872" s="7" t="s">
        <v>4291</v>
      </c>
      <c r="B872" s="7">
        <f>COUNTIFS(Sheet1!C:C,Sheet2!A872)</f>
        <v>1</v>
      </c>
    </row>
    <row r="873" spans="1:2" x14ac:dyDescent="0.25">
      <c r="A873" s="7" t="s">
        <v>1871</v>
      </c>
      <c r="B873" s="7">
        <f>COUNTIFS(Sheet1!C:C,Sheet2!A873)</f>
        <v>1</v>
      </c>
    </row>
    <row r="874" spans="1:2" x14ac:dyDescent="0.25">
      <c r="A874" s="7" t="s">
        <v>3395</v>
      </c>
      <c r="B874" s="7">
        <f>COUNTIFS(Sheet1!C:C,Sheet2!A874)</f>
        <v>1</v>
      </c>
    </row>
    <row r="875" spans="1:2" x14ac:dyDescent="0.25">
      <c r="A875" s="7" t="s">
        <v>190</v>
      </c>
      <c r="B875" s="7">
        <f>COUNTIFS(Sheet1!C:C,Sheet2!A875)</f>
        <v>1</v>
      </c>
    </row>
    <row r="876" spans="1:2" x14ac:dyDescent="0.25">
      <c r="A876" s="7" t="s">
        <v>1538</v>
      </c>
      <c r="B876" s="7">
        <f>COUNTIFS(Sheet1!C:C,Sheet2!A876)</f>
        <v>1</v>
      </c>
    </row>
    <row r="877" spans="1:2" x14ac:dyDescent="0.25">
      <c r="A877" s="7" t="s">
        <v>4017</v>
      </c>
      <c r="B877" s="7">
        <f>COUNTIFS(Sheet1!C:C,Sheet2!A877)</f>
        <v>1</v>
      </c>
    </row>
    <row r="878" spans="1:2" x14ac:dyDescent="0.25">
      <c r="A878" s="7" t="s">
        <v>3073</v>
      </c>
      <c r="B878" s="7">
        <f>COUNTIFS(Sheet1!C:C,Sheet2!A878)</f>
        <v>1</v>
      </c>
    </row>
    <row r="879" spans="1:2" x14ac:dyDescent="0.25">
      <c r="A879" s="7" t="s">
        <v>585</v>
      </c>
      <c r="B879" s="7">
        <f>COUNTIFS(Sheet1!C:C,Sheet2!A879)</f>
        <v>1</v>
      </c>
    </row>
    <row r="880" spans="1:2" x14ac:dyDescent="0.25">
      <c r="A880" s="7" t="s">
        <v>4104</v>
      </c>
      <c r="B880" s="7">
        <f>COUNTIFS(Sheet1!C:C,Sheet2!A880)</f>
        <v>1</v>
      </c>
    </row>
    <row r="881" spans="1:2" x14ac:dyDescent="0.25">
      <c r="A881" s="7" t="s">
        <v>897</v>
      </c>
      <c r="B881" s="7">
        <f>COUNTIFS(Sheet1!C:C,Sheet2!A881)</f>
        <v>1</v>
      </c>
    </row>
    <row r="882" spans="1:2" x14ac:dyDescent="0.25">
      <c r="A882" s="7" t="s">
        <v>641</v>
      </c>
      <c r="B882" s="7">
        <f>COUNTIFS(Sheet1!C:C,Sheet2!A882)</f>
        <v>1</v>
      </c>
    </row>
    <row r="883" spans="1:2" x14ac:dyDescent="0.25">
      <c r="A883" s="7" t="s">
        <v>3973</v>
      </c>
      <c r="B883" s="7">
        <f>COUNTIFS(Sheet1!C:C,Sheet2!A883)</f>
        <v>1</v>
      </c>
    </row>
    <row r="884" spans="1:2" x14ac:dyDescent="0.25">
      <c r="A884" s="7" t="s">
        <v>911</v>
      </c>
      <c r="B884" s="7">
        <f>COUNTIFS(Sheet1!C:C,Sheet2!A884)</f>
        <v>1</v>
      </c>
    </row>
    <row r="885" spans="1:2" x14ac:dyDescent="0.25">
      <c r="A885" s="7" t="s">
        <v>1641</v>
      </c>
      <c r="B885" s="7">
        <f>COUNTIFS(Sheet1!C:C,Sheet2!A885)</f>
        <v>1</v>
      </c>
    </row>
    <row r="886" spans="1:2" x14ac:dyDescent="0.25">
      <c r="A886" s="7" t="s">
        <v>2233</v>
      </c>
      <c r="B886" s="7">
        <f>COUNTIFS(Sheet1!C:C,Sheet2!A886)</f>
        <v>1</v>
      </c>
    </row>
    <row r="887" spans="1:2" x14ac:dyDescent="0.25">
      <c r="A887" s="7" t="s">
        <v>1397</v>
      </c>
      <c r="B887" s="7">
        <f>COUNTIFS(Sheet1!C:C,Sheet2!A887)</f>
        <v>1</v>
      </c>
    </row>
    <row r="888" spans="1:2" x14ac:dyDescent="0.25">
      <c r="A888" s="7" t="s">
        <v>2428</v>
      </c>
      <c r="B888" s="7">
        <f>COUNTIFS(Sheet1!C:C,Sheet2!A888)</f>
        <v>1</v>
      </c>
    </row>
    <row r="889" spans="1:2" x14ac:dyDescent="0.25">
      <c r="A889" s="7" t="s">
        <v>2743</v>
      </c>
      <c r="B889" s="7">
        <f>COUNTIFS(Sheet1!C:C,Sheet2!A889)</f>
        <v>1</v>
      </c>
    </row>
    <row r="890" spans="1:2" x14ac:dyDescent="0.25">
      <c r="A890" s="7" t="s">
        <v>3706</v>
      </c>
      <c r="B890" s="7">
        <f>COUNTIFS(Sheet1!C:C,Sheet2!A890)</f>
        <v>1</v>
      </c>
    </row>
    <row r="891" spans="1:2" x14ac:dyDescent="0.25">
      <c r="A891" s="7" t="s">
        <v>710</v>
      </c>
      <c r="B891" s="7">
        <f>COUNTIFS(Sheet1!C:C,Sheet2!A891)</f>
        <v>1</v>
      </c>
    </row>
    <row r="892" spans="1:2" x14ac:dyDescent="0.25">
      <c r="A892" s="7" t="s">
        <v>881</v>
      </c>
      <c r="B892" s="7">
        <f>COUNTIFS(Sheet1!C:C,Sheet2!A892)</f>
        <v>1</v>
      </c>
    </row>
    <row r="893" spans="1:2" x14ac:dyDescent="0.25">
      <c r="A893" s="7" t="s">
        <v>1453</v>
      </c>
      <c r="B893" s="7">
        <f>COUNTIFS(Sheet1!C:C,Sheet2!A893)</f>
        <v>1</v>
      </c>
    </row>
    <row r="894" spans="1:2" x14ac:dyDescent="0.25">
      <c r="A894" s="7" t="s">
        <v>200</v>
      </c>
      <c r="B894" s="7">
        <f>COUNTIFS(Sheet1!C:C,Sheet2!A894)</f>
        <v>3</v>
      </c>
    </row>
    <row r="895" spans="1:2" x14ac:dyDescent="0.25">
      <c r="A895" s="7" t="s">
        <v>2961</v>
      </c>
      <c r="B895" s="7">
        <f>COUNTIFS(Sheet1!C:C,Sheet2!A895)</f>
        <v>1</v>
      </c>
    </row>
    <row r="896" spans="1:2" x14ac:dyDescent="0.25">
      <c r="A896" s="7" t="s">
        <v>4197</v>
      </c>
      <c r="B896" s="7">
        <f>COUNTIFS(Sheet1!C:C,Sheet2!A896)</f>
        <v>1</v>
      </c>
    </row>
    <row r="897" spans="1:2" x14ac:dyDescent="0.25">
      <c r="A897" s="7" t="s">
        <v>2614</v>
      </c>
      <c r="B897" s="7">
        <f>COUNTIFS(Sheet1!C:C,Sheet2!A897)</f>
        <v>1</v>
      </c>
    </row>
    <row r="898" spans="1:2" x14ac:dyDescent="0.25">
      <c r="A898" s="7" t="s">
        <v>2111</v>
      </c>
      <c r="B898" s="7">
        <f>COUNTIFS(Sheet1!C:C,Sheet2!A898)</f>
        <v>1</v>
      </c>
    </row>
    <row r="899" spans="1:2" x14ac:dyDescent="0.25">
      <c r="A899" s="7" t="s">
        <v>3299</v>
      </c>
      <c r="B899" s="7">
        <f>COUNTIFS(Sheet1!C:C,Sheet2!A899)</f>
        <v>1</v>
      </c>
    </row>
    <row r="900" spans="1:2" x14ac:dyDescent="0.25">
      <c r="A900" s="7" t="s">
        <v>164</v>
      </c>
      <c r="B900" s="7">
        <f>COUNTIFS(Sheet1!C:C,Sheet2!A900)</f>
        <v>1</v>
      </c>
    </row>
    <row r="901" spans="1:2" x14ac:dyDescent="0.25">
      <c r="A901" s="7" t="s">
        <v>3955</v>
      </c>
      <c r="B901" s="7">
        <f>COUNTIFS(Sheet1!C:C,Sheet2!A901)</f>
        <v>1</v>
      </c>
    </row>
    <row r="902" spans="1:2" x14ac:dyDescent="0.25">
      <c r="A902" s="7" t="s">
        <v>1180</v>
      </c>
      <c r="B902" s="7">
        <f>COUNTIFS(Sheet1!C:C,Sheet2!A902)</f>
        <v>1</v>
      </c>
    </row>
    <row r="903" spans="1:2" x14ac:dyDescent="0.25">
      <c r="A903" s="7" t="s">
        <v>3153</v>
      </c>
      <c r="B903" s="7">
        <f>COUNTIFS(Sheet1!C:C,Sheet2!A903)</f>
        <v>1</v>
      </c>
    </row>
    <row r="904" spans="1:2" x14ac:dyDescent="0.25">
      <c r="A904" s="7" t="s">
        <v>2984</v>
      </c>
      <c r="B904" s="7">
        <f>COUNTIFS(Sheet1!C:C,Sheet2!A904)</f>
        <v>1</v>
      </c>
    </row>
    <row r="905" spans="1:2" x14ac:dyDescent="0.25">
      <c r="A905" s="7" t="s">
        <v>3969</v>
      </c>
      <c r="B905" s="7">
        <f>COUNTIFS(Sheet1!C:C,Sheet2!A905)</f>
        <v>1</v>
      </c>
    </row>
    <row r="906" spans="1:2" x14ac:dyDescent="0.25">
      <c r="A906" s="7" t="s">
        <v>95</v>
      </c>
      <c r="B906" s="7">
        <f>COUNTIFS(Sheet1!C:C,Sheet2!A906)</f>
        <v>1</v>
      </c>
    </row>
    <row r="907" spans="1:2" x14ac:dyDescent="0.25">
      <c r="A907" s="7" t="s">
        <v>2140</v>
      </c>
      <c r="B907" s="7">
        <f>COUNTIFS(Sheet1!C:C,Sheet2!A907)</f>
        <v>1</v>
      </c>
    </row>
    <row r="908" spans="1:2" x14ac:dyDescent="0.25">
      <c r="A908" s="7" t="s">
        <v>1516</v>
      </c>
      <c r="B908" s="7">
        <f>COUNTIFS(Sheet1!C:C,Sheet2!A908)</f>
        <v>1</v>
      </c>
    </row>
    <row r="909" spans="1:2" x14ac:dyDescent="0.25">
      <c r="A909" s="7" t="s">
        <v>3220</v>
      </c>
      <c r="B909" s="7">
        <f>COUNTIFS(Sheet1!C:C,Sheet2!A909)</f>
        <v>3</v>
      </c>
    </row>
    <row r="910" spans="1:2" x14ac:dyDescent="0.25">
      <c r="A910" s="7" t="s">
        <v>3772</v>
      </c>
      <c r="B910" s="7">
        <f>COUNTIFS(Sheet1!C:C,Sheet2!A910)</f>
        <v>1</v>
      </c>
    </row>
    <row r="911" spans="1:2" x14ac:dyDescent="0.25">
      <c r="A911" s="7" t="s">
        <v>42</v>
      </c>
      <c r="B911" s="7">
        <f>COUNTIFS(Sheet1!C:C,Sheet2!A911)</f>
        <v>42</v>
      </c>
    </row>
    <row r="912" spans="1:2" x14ac:dyDescent="0.25">
      <c r="A912" s="7" t="s">
        <v>3180</v>
      </c>
      <c r="B912" s="7">
        <f>COUNTIFS(Sheet1!C:C,Sheet2!A912)</f>
        <v>1</v>
      </c>
    </row>
    <row r="913" spans="1:2" x14ac:dyDescent="0.25">
      <c r="A913" s="7" t="s">
        <v>2401</v>
      </c>
      <c r="B913" s="7">
        <f>COUNTIFS(Sheet1!C:C,Sheet2!A913)</f>
        <v>1</v>
      </c>
    </row>
    <row r="914" spans="1:2" x14ac:dyDescent="0.25">
      <c r="A914" s="7" t="s">
        <v>2980</v>
      </c>
      <c r="B914" s="7">
        <f>COUNTIFS(Sheet1!C:C,Sheet2!A914)</f>
        <v>1</v>
      </c>
    </row>
    <row r="915" spans="1:2" x14ac:dyDescent="0.25">
      <c r="A915" s="7" t="s">
        <v>3226</v>
      </c>
      <c r="B915" s="7">
        <f>COUNTIFS(Sheet1!C:C,Sheet2!A915)</f>
        <v>1</v>
      </c>
    </row>
    <row r="916" spans="1:2" x14ac:dyDescent="0.25">
      <c r="A916" s="7" t="s">
        <v>1568</v>
      </c>
      <c r="B916" s="7">
        <f>COUNTIFS(Sheet1!C:C,Sheet2!A916)</f>
        <v>1</v>
      </c>
    </row>
    <row r="917" spans="1:2" x14ac:dyDescent="0.25">
      <c r="A917" s="7" t="s">
        <v>560</v>
      </c>
      <c r="B917" s="7">
        <f>COUNTIFS(Sheet1!C:C,Sheet2!A917)</f>
        <v>4</v>
      </c>
    </row>
    <row r="918" spans="1:2" x14ac:dyDescent="0.25">
      <c r="A918" s="7" t="s">
        <v>4052</v>
      </c>
      <c r="B918" s="7">
        <f>COUNTIFS(Sheet1!C:C,Sheet2!A918)</f>
        <v>1</v>
      </c>
    </row>
    <row r="919" spans="1:2" x14ac:dyDescent="0.25">
      <c r="A919" s="7" t="s">
        <v>2041</v>
      </c>
      <c r="B919" s="7">
        <f>COUNTIFS(Sheet1!C:C,Sheet2!A919)</f>
        <v>2</v>
      </c>
    </row>
    <row r="920" spans="1:2" x14ac:dyDescent="0.25">
      <c r="A920" s="7" t="s">
        <v>1349</v>
      </c>
      <c r="B920" s="7">
        <f>COUNTIFS(Sheet1!C:C,Sheet2!A920)</f>
        <v>1</v>
      </c>
    </row>
    <row r="921" spans="1:2" x14ac:dyDescent="0.25">
      <c r="A921" s="7" t="s">
        <v>4226</v>
      </c>
      <c r="B921" s="7">
        <f>COUNTIFS(Sheet1!C:C,Sheet2!A921)</f>
        <v>1</v>
      </c>
    </row>
    <row r="922" spans="1:2" x14ac:dyDescent="0.25">
      <c r="A922" s="7" t="s">
        <v>1297</v>
      </c>
      <c r="B922" s="7">
        <f>COUNTIFS(Sheet1!C:C,Sheet2!A922)</f>
        <v>1</v>
      </c>
    </row>
    <row r="923" spans="1:2" x14ac:dyDescent="0.25">
      <c r="A923" s="7" t="s">
        <v>1520</v>
      </c>
      <c r="B923" s="7">
        <f>COUNTIFS(Sheet1!C:C,Sheet2!A923)</f>
        <v>1</v>
      </c>
    </row>
    <row r="924" spans="1:2" x14ac:dyDescent="0.25">
      <c r="A924" s="7" t="s">
        <v>1119</v>
      </c>
      <c r="B924" s="7">
        <f>COUNTIFS(Sheet1!C:C,Sheet2!A924)</f>
        <v>2</v>
      </c>
    </row>
    <row r="925" spans="1:2" x14ac:dyDescent="0.25">
      <c r="A925" s="7" t="s">
        <v>2641</v>
      </c>
      <c r="B925" s="7">
        <f>COUNTIFS(Sheet1!C:C,Sheet2!A925)</f>
        <v>1</v>
      </c>
    </row>
    <row r="926" spans="1:2" x14ac:dyDescent="0.25">
      <c r="A926" s="7" t="s">
        <v>3332</v>
      </c>
      <c r="B926" s="7">
        <f>COUNTIFS(Sheet1!C:C,Sheet2!A926)</f>
        <v>1</v>
      </c>
    </row>
    <row r="927" spans="1:2" x14ac:dyDescent="0.25">
      <c r="A927" s="7" t="s">
        <v>3110</v>
      </c>
      <c r="B927" s="7">
        <f>COUNTIFS(Sheet1!C:C,Sheet2!A927)</f>
        <v>1</v>
      </c>
    </row>
    <row r="928" spans="1:2" x14ac:dyDescent="0.25">
      <c r="A928" s="7" t="s">
        <v>2028</v>
      </c>
      <c r="B928" s="7">
        <f>COUNTIFS(Sheet1!C:C,Sheet2!A928)</f>
        <v>1</v>
      </c>
    </row>
    <row r="929" spans="1:2" x14ac:dyDescent="0.25">
      <c r="A929" s="7" t="s">
        <v>532</v>
      </c>
      <c r="B929" s="7">
        <f>COUNTIFS(Sheet1!C:C,Sheet2!A929)</f>
        <v>4</v>
      </c>
    </row>
    <row r="930" spans="1:2" x14ac:dyDescent="0.25">
      <c r="A930" s="7" t="s">
        <v>3769</v>
      </c>
      <c r="B930" s="7">
        <f>COUNTIFS(Sheet1!C:C,Sheet2!A930)</f>
        <v>1</v>
      </c>
    </row>
    <row r="931" spans="1:2" x14ac:dyDescent="0.25">
      <c r="A931" s="7" t="s">
        <v>1532</v>
      </c>
      <c r="B931" s="7">
        <f>COUNTIFS(Sheet1!C:C,Sheet2!A931)</f>
        <v>1</v>
      </c>
    </row>
    <row r="932" spans="1:2" x14ac:dyDescent="0.25">
      <c r="A932" s="7" t="s">
        <v>1504</v>
      </c>
      <c r="B932" s="7">
        <f>COUNTIFS(Sheet1!C:C,Sheet2!A932)</f>
        <v>1</v>
      </c>
    </row>
    <row r="933" spans="1:2" x14ac:dyDescent="0.25">
      <c r="A933" s="7" t="s">
        <v>1076</v>
      </c>
      <c r="B933" s="7">
        <f>COUNTIFS(Sheet1!C:C,Sheet2!A933)</f>
        <v>2</v>
      </c>
    </row>
    <row r="934" spans="1:2" x14ac:dyDescent="0.25">
      <c r="A934" s="7" t="s">
        <v>2030</v>
      </c>
      <c r="B934" s="7">
        <f>COUNTIFS(Sheet1!C:C,Sheet2!A934)</f>
        <v>1</v>
      </c>
    </row>
    <row r="935" spans="1:2" x14ac:dyDescent="0.25">
      <c r="A935" s="7" t="s">
        <v>3933</v>
      </c>
      <c r="B935" s="7">
        <f>COUNTIFS(Sheet1!C:C,Sheet2!A935)</f>
        <v>1</v>
      </c>
    </row>
    <row r="936" spans="1:2" x14ac:dyDescent="0.25">
      <c r="A936" s="7" t="s">
        <v>4200</v>
      </c>
      <c r="B936" s="7">
        <f>COUNTIFS(Sheet1!C:C,Sheet2!A936)</f>
        <v>1</v>
      </c>
    </row>
    <row r="937" spans="1:2" x14ac:dyDescent="0.25">
      <c r="A937" s="7" t="s">
        <v>1650</v>
      </c>
      <c r="B937" s="7">
        <f>COUNTIFS(Sheet1!C:C,Sheet2!A937)</f>
        <v>1</v>
      </c>
    </row>
    <row r="938" spans="1:2" x14ac:dyDescent="0.25">
      <c r="A938" s="7" t="s">
        <v>2882</v>
      </c>
      <c r="B938" s="7">
        <f>COUNTIFS(Sheet1!C:C,Sheet2!A938)</f>
        <v>1</v>
      </c>
    </row>
    <row r="939" spans="1:2" x14ac:dyDescent="0.25">
      <c r="A939" s="7" t="s">
        <v>3680</v>
      </c>
      <c r="B939" s="7">
        <f>COUNTIFS(Sheet1!C:C,Sheet2!A939)</f>
        <v>1</v>
      </c>
    </row>
    <row r="940" spans="1:2" x14ac:dyDescent="0.25">
      <c r="A940" s="7" t="s">
        <v>800</v>
      </c>
      <c r="B940" s="7">
        <f>COUNTIFS(Sheet1!C:C,Sheet2!A940)</f>
        <v>1</v>
      </c>
    </row>
    <row r="941" spans="1:2" x14ac:dyDescent="0.25">
      <c r="A941" s="7" t="s">
        <v>1742</v>
      </c>
      <c r="B941" s="7">
        <f>COUNTIFS(Sheet1!C:C,Sheet2!A941)</f>
        <v>1</v>
      </c>
    </row>
    <row r="942" spans="1:2" x14ac:dyDescent="0.25">
      <c r="A942" s="7" t="s">
        <v>3779</v>
      </c>
      <c r="B942" s="7">
        <f>COUNTIFS(Sheet1!C:C,Sheet2!A942)</f>
        <v>1</v>
      </c>
    </row>
    <row r="943" spans="1:2" x14ac:dyDescent="0.25">
      <c r="A943" s="7" t="s">
        <v>1084</v>
      </c>
      <c r="B943" s="7">
        <f>COUNTIFS(Sheet1!C:C,Sheet2!A943)</f>
        <v>2</v>
      </c>
    </row>
    <row r="944" spans="1:2" x14ac:dyDescent="0.25">
      <c r="A944" s="7" t="s">
        <v>3051</v>
      </c>
      <c r="B944" s="7">
        <f>COUNTIFS(Sheet1!C:C,Sheet2!A944)</f>
        <v>1</v>
      </c>
    </row>
    <row r="945" spans="1:2" x14ac:dyDescent="0.25">
      <c r="A945" s="7" t="s">
        <v>1203</v>
      </c>
      <c r="B945" s="7">
        <f>COUNTIFS(Sheet1!C:C,Sheet2!A945)</f>
        <v>1</v>
      </c>
    </row>
    <row r="946" spans="1:2" x14ac:dyDescent="0.25">
      <c r="A946" s="7" t="s">
        <v>2582</v>
      </c>
      <c r="B946" s="7">
        <f>COUNTIFS(Sheet1!C:C,Sheet2!A946)</f>
        <v>1</v>
      </c>
    </row>
    <row r="947" spans="1:2" x14ac:dyDescent="0.25">
      <c r="A947" s="7" t="s">
        <v>483</v>
      </c>
      <c r="B947" s="7">
        <f>COUNTIFS(Sheet1!C:C,Sheet2!A947)</f>
        <v>1</v>
      </c>
    </row>
    <row r="948" spans="1:2" x14ac:dyDescent="0.25">
      <c r="A948" s="7" t="s">
        <v>2054</v>
      </c>
      <c r="B948" s="7">
        <f>COUNTIFS(Sheet1!C:C,Sheet2!A948)</f>
        <v>1</v>
      </c>
    </row>
    <row r="949" spans="1:2" x14ac:dyDescent="0.25">
      <c r="A949" s="7" t="s">
        <v>833</v>
      </c>
      <c r="B949" s="7">
        <f>COUNTIFS(Sheet1!C:C,Sheet2!A949)</f>
        <v>5</v>
      </c>
    </row>
    <row r="950" spans="1:2" x14ac:dyDescent="0.25">
      <c r="A950" s="7" t="s">
        <v>1060</v>
      </c>
      <c r="B950" s="7">
        <f>COUNTIFS(Sheet1!C:C,Sheet2!A950)</f>
        <v>1</v>
      </c>
    </row>
    <row r="951" spans="1:2" x14ac:dyDescent="0.25">
      <c r="A951" s="7" t="s">
        <v>2935</v>
      </c>
      <c r="B951" s="7">
        <f>COUNTIFS(Sheet1!C:C,Sheet2!A951)</f>
        <v>1</v>
      </c>
    </row>
    <row r="952" spans="1:2" x14ac:dyDescent="0.25">
      <c r="A952" s="7" t="s">
        <v>1046</v>
      </c>
      <c r="B952" s="7">
        <f>COUNTIFS(Sheet1!C:C,Sheet2!A952)</f>
        <v>1</v>
      </c>
    </row>
    <row r="953" spans="1:2" x14ac:dyDescent="0.25">
      <c r="A953" s="7" t="s">
        <v>4097</v>
      </c>
      <c r="B953" s="7">
        <f>COUNTIFS(Sheet1!C:C,Sheet2!A953)</f>
        <v>1</v>
      </c>
    </row>
    <row r="954" spans="1:2" x14ac:dyDescent="0.25">
      <c r="A954" s="7" t="s">
        <v>300</v>
      </c>
      <c r="B954" s="7">
        <f>COUNTIFS(Sheet1!C:C,Sheet2!A954)</f>
        <v>1</v>
      </c>
    </row>
    <row r="955" spans="1:2" x14ac:dyDescent="0.25">
      <c r="A955" s="7" t="s">
        <v>956</v>
      </c>
      <c r="B955" s="7">
        <f>COUNTIFS(Sheet1!C:C,Sheet2!A955)</f>
        <v>9</v>
      </c>
    </row>
    <row r="956" spans="1:2" x14ac:dyDescent="0.25">
      <c r="A956" s="7" t="s">
        <v>1102</v>
      </c>
      <c r="B956" s="7">
        <f>COUNTIFS(Sheet1!C:C,Sheet2!A956)</f>
        <v>1</v>
      </c>
    </row>
    <row r="957" spans="1:2" x14ac:dyDescent="0.25">
      <c r="A957" s="7" t="s">
        <v>1524</v>
      </c>
      <c r="B957" s="7">
        <f>COUNTIFS(Sheet1!C:C,Sheet2!A957)</f>
        <v>3</v>
      </c>
    </row>
    <row r="958" spans="1:2" x14ac:dyDescent="0.25">
      <c r="A958" s="7" t="s">
        <v>1763</v>
      </c>
      <c r="B958" s="7">
        <f>COUNTIFS(Sheet1!C:C,Sheet2!A958)</f>
        <v>1</v>
      </c>
    </row>
    <row r="959" spans="1:2" x14ac:dyDescent="0.25">
      <c r="A959" s="7" t="s">
        <v>872</v>
      </c>
      <c r="B959" s="7">
        <f>COUNTIFS(Sheet1!C:C,Sheet2!A959)</f>
        <v>1</v>
      </c>
    </row>
    <row r="960" spans="1:2" x14ac:dyDescent="0.25">
      <c r="A960" s="7" t="s">
        <v>2455</v>
      </c>
      <c r="B960" s="7">
        <f>COUNTIFS(Sheet1!C:C,Sheet2!A960)</f>
        <v>1</v>
      </c>
    </row>
    <row r="961" spans="1:2" x14ac:dyDescent="0.25">
      <c r="A961" s="7" t="s">
        <v>2915</v>
      </c>
      <c r="B961" s="7">
        <f>COUNTIFS(Sheet1!C:C,Sheet2!A961)</f>
        <v>1</v>
      </c>
    </row>
    <row r="962" spans="1:2" x14ac:dyDescent="0.25">
      <c r="A962" s="7" t="s">
        <v>171</v>
      </c>
      <c r="B962" s="7">
        <f>COUNTIFS(Sheet1!C:C,Sheet2!A962)</f>
        <v>1</v>
      </c>
    </row>
    <row r="963" spans="1:2" x14ac:dyDescent="0.25">
      <c r="A963" s="7" t="s">
        <v>3719</v>
      </c>
      <c r="B963" s="7">
        <f>COUNTIFS(Sheet1!C:C,Sheet2!A963)</f>
        <v>1</v>
      </c>
    </row>
    <row r="964" spans="1:2" x14ac:dyDescent="0.25">
      <c r="A964" s="7" t="s">
        <v>1008</v>
      </c>
      <c r="B964" s="7">
        <f>COUNTIFS(Sheet1!C:C,Sheet2!A964)</f>
        <v>1</v>
      </c>
    </row>
    <row r="965" spans="1:2" x14ac:dyDescent="0.25">
      <c r="A965" s="7" t="s">
        <v>774</v>
      </c>
      <c r="B965" s="7">
        <f>COUNTIFS(Sheet1!C:C,Sheet2!A965)</f>
        <v>1</v>
      </c>
    </row>
    <row r="966" spans="1:2" x14ac:dyDescent="0.25">
      <c r="A966" s="7" t="s">
        <v>1736</v>
      </c>
      <c r="B966" s="7">
        <f>COUNTIFS(Sheet1!C:C,Sheet2!A966)</f>
        <v>1</v>
      </c>
    </row>
    <row r="967" spans="1:2" x14ac:dyDescent="0.25">
      <c r="A967" s="7" t="s">
        <v>1188</v>
      </c>
      <c r="B967" s="7">
        <f>COUNTIFS(Sheet1!C:C,Sheet2!A967)</f>
        <v>1</v>
      </c>
    </row>
    <row r="968" spans="1:2" x14ac:dyDescent="0.25">
      <c r="A968" s="7" t="s">
        <v>1266</v>
      </c>
      <c r="B968" s="7">
        <f>COUNTIFS(Sheet1!C:C,Sheet2!A968)</f>
        <v>1</v>
      </c>
    </row>
    <row r="969" spans="1:2" x14ac:dyDescent="0.25">
      <c r="A969" s="7" t="s">
        <v>2137</v>
      </c>
      <c r="B969" s="7">
        <f>COUNTIFS(Sheet1!C:C,Sheet2!A969)</f>
        <v>1</v>
      </c>
    </row>
    <row r="970" spans="1:2" x14ac:dyDescent="0.25">
      <c r="A970" s="7" t="s">
        <v>630</v>
      </c>
      <c r="B970" s="7">
        <f>COUNTIFS(Sheet1!C:C,Sheet2!A970)</f>
        <v>1</v>
      </c>
    </row>
    <row r="971" spans="1:2" x14ac:dyDescent="0.25">
      <c r="A971" s="7" t="s">
        <v>3441</v>
      </c>
      <c r="B971" s="7">
        <f>COUNTIFS(Sheet1!C:C,Sheet2!A971)</f>
        <v>1</v>
      </c>
    </row>
    <row r="972" spans="1:2" x14ac:dyDescent="0.25">
      <c r="A972" s="7" t="s">
        <v>3066</v>
      </c>
      <c r="B972" s="7">
        <f>COUNTIFS(Sheet1!C:C,Sheet2!A972)</f>
        <v>2</v>
      </c>
    </row>
    <row r="973" spans="1:2" x14ac:dyDescent="0.25">
      <c r="A973" s="7" t="s">
        <v>3233</v>
      </c>
      <c r="B973" s="7">
        <f>COUNTIFS(Sheet1!C:C,Sheet2!A973)</f>
        <v>1</v>
      </c>
    </row>
    <row r="974" spans="1:2" x14ac:dyDescent="0.25">
      <c r="A974" s="7" t="s">
        <v>1554</v>
      </c>
      <c r="B974" s="7">
        <f>COUNTIFS(Sheet1!C:C,Sheet2!A974)</f>
        <v>1</v>
      </c>
    </row>
    <row r="975" spans="1:2" x14ac:dyDescent="0.25">
      <c r="A975" s="7" t="s">
        <v>1356</v>
      </c>
      <c r="B975" s="7">
        <f>COUNTIFS(Sheet1!C:C,Sheet2!A975)</f>
        <v>1</v>
      </c>
    </row>
    <row r="976" spans="1:2" x14ac:dyDescent="0.25">
      <c r="A976" s="7" t="s">
        <v>2243</v>
      </c>
      <c r="B976" s="7">
        <f>COUNTIFS(Sheet1!C:C,Sheet2!A976)</f>
        <v>3</v>
      </c>
    </row>
    <row r="977" spans="1:2" x14ac:dyDescent="0.25">
      <c r="A977" s="7" t="s">
        <v>1784</v>
      </c>
      <c r="B977" s="7">
        <f>COUNTIFS(Sheet1!C:C,Sheet2!A977)</f>
        <v>1</v>
      </c>
    </row>
    <row r="978" spans="1:2" x14ac:dyDescent="0.25">
      <c r="A978" s="7" t="s">
        <v>4138</v>
      </c>
      <c r="B978" s="7">
        <f>COUNTIFS(Sheet1!C:C,Sheet2!A978)</f>
        <v>1</v>
      </c>
    </row>
  </sheetData>
  <sortState xmlns:xlrd2="http://schemas.microsoft.com/office/spreadsheetml/2017/richdata2" ref="A2:A1523">
    <sortCondition ref="A2:A1523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C4E6F-8703-407B-9214-5253D31DA724}">
  <dimension ref="A1:AR118"/>
  <sheetViews>
    <sheetView topLeftCell="N1" workbookViewId="0">
      <selection activeCell="AR2" sqref="AR2:AR118"/>
    </sheetView>
  </sheetViews>
  <sheetFormatPr defaultRowHeight="12.75" x14ac:dyDescent="0.2"/>
  <cols>
    <col min="1" max="1" width="5" style="6" bestFit="1" customWidth="1"/>
    <col min="2" max="2" width="6.140625" style="6" bestFit="1" customWidth="1"/>
    <col min="3" max="3" width="7.5703125" style="6" bestFit="1" customWidth="1"/>
    <col min="4" max="13" width="4.5703125" style="6" bestFit="1" customWidth="1"/>
    <col min="14" max="16" width="5.5703125" style="6" bestFit="1" customWidth="1"/>
    <col min="17" max="17" width="2" style="6" bestFit="1" customWidth="1"/>
    <col min="18" max="18" width="5" style="6" bestFit="1" customWidth="1"/>
    <col min="19" max="29" width="6" style="6" bestFit="1" customWidth="1"/>
    <col min="30" max="30" width="6" style="6" customWidth="1"/>
    <col min="31" max="31" width="5.7109375" style="6" bestFit="1" customWidth="1"/>
    <col min="32" max="32" width="4" style="6" bestFit="1" customWidth="1"/>
    <col min="33" max="35" width="9.140625" style="6"/>
    <col min="36" max="36" width="6" style="6" customWidth="1"/>
    <col min="37" max="37" width="4.28515625" style="6" bestFit="1" customWidth="1"/>
    <col min="38" max="38" width="6.140625" style="6" customWidth="1"/>
    <col min="39" max="39" width="3" style="6" bestFit="1" customWidth="1"/>
    <col min="40" max="41" width="4.28515625" style="6" bestFit="1" customWidth="1"/>
    <col min="42" max="16384" width="9.140625" style="6"/>
  </cols>
  <sheetData>
    <row r="1" spans="1:44" x14ac:dyDescent="0.2">
      <c r="A1" s="7" t="s">
        <v>4341</v>
      </c>
      <c r="B1" s="7" t="s">
        <v>4342</v>
      </c>
      <c r="C1" s="7" t="s">
        <v>4342</v>
      </c>
      <c r="D1" s="7" t="s">
        <v>4355</v>
      </c>
      <c r="E1" s="7" t="s">
        <v>4343</v>
      </c>
      <c r="F1" s="7" t="s">
        <v>4344</v>
      </c>
      <c r="G1" s="7" t="s">
        <v>4345</v>
      </c>
      <c r="H1" s="7" t="s">
        <v>4346</v>
      </c>
      <c r="I1" s="7" t="s">
        <v>4347</v>
      </c>
      <c r="J1" s="7" t="s">
        <v>4348</v>
      </c>
      <c r="K1" s="7" t="s">
        <v>4349</v>
      </c>
      <c r="L1" s="7" t="s">
        <v>4350</v>
      </c>
      <c r="M1" s="7" t="s">
        <v>4351</v>
      </c>
      <c r="N1" s="7" t="s">
        <v>4352</v>
      </c>
      <c r="O1" s="7" t="s">
        <v>4353</v>
      </c>
      <c r="P1" s="7" t="s">
        <v>4354</v>
      </c>
      <c r="Q1" s="7">
        <f>CORREL($D$2:$D$118,$D$2:$D$118)</f>
        <v>1.0000000000000002</v>
      </c>
      <c r="R1" s="7">
        <f>ROUND(CORREL($D$2:$D$118,E2:E118),3)</f>
        <v>0.71</v>
      </c>
      <c r="S1" s="7">
        <f t="shared" ref="S1:AC1" si="0">ROUND(CORREL($D$2:$D$118,F2:F118),3)</f>
        <v>0.59199999999999997</v>
      </c>
      <c r="T1" s="7">
        <f t="shared" si="0"/>
        <v>0.66700000000000004</v>
      </c>
      <c r="U1" s="7">
        <f t="shared" si="0"/>
        <v>0.59899999999999998</v>
      </c>
      <c r="V1" s="7">
        <f t="shared" si="0"/>
        <v>0.42299999999999999</v>
      </c>
      <c r="W1" s="7">
        <f t="shared" si="0"/>
        <v>0.44600000000000001</v>
      </c>
      <c r="X1" s="7">
        <f t="shared" si="0"/>
        <v>0.45400000000000001</v>
      </c>
      <c r="Y1" s="7">
        <f t="shared" si="0"/>
        <v>0.371</v>
      </c>
      <c r="Z1" s="7">
        <f t="shared" si="0"/>
        <v>0.26600000000000001</v>
      </c>
      <c r="AA1" s="7">
        <f t="shared" si="0"/>
        <v>0.27600000000000002</v>
      </c>
      <c r="AB1" s="7">
        <f t="shared" si="0"/>
        <v>0.252</v>
      </c>
      <c r="AC1" s="7">
        <f t="shared" si="0"/>
        <v>0.122</v>
      </c>
      <c r="AD1" s="7" t="s">
        <v>4360</v>
      </c>
      <c r="AE1" s="6" t="s">
        <v>4356</v>
      </c>
      <c r="AF1" s="6">
        <f>MAX(D:D)</f>
        <v>74</v>
      </c>
      <c r="AG1" s="10">
        <f>MAX(AD:AD)</f>
        <v>4.3040650932041702</v>
      </c>
      <c r="AJ1" s="7" t="s">
        <v>4361</v>
      </c>
      <c r="AK1" s="6" t="s">
        <v>4363</v>
      </c>
      <c r="AL1" s="14" t="s">
        <v>4362</v>
      </c>
      <c r="AM1" s="13">
        <f>SQRT(AVERAGE(AK2:AK118))</f>
        <v>14.753675872661548</v>
      </c>
      <c r="AN1" s="6" t="s">
        <v>4365</v>
      </c>
      <c r="AO1" s="6" t="s">
        <v>4364</v>
      </c>
      <c r="AP1" s="14" t="s">
        <v>4362</v>
      </c>
      <c r="AQ1" s="13">
        <f>SQRT(AVERAGE(AO2:AO118))</f>
        <v>17.663049302359894</v>
      </c>
    </row>
    <row r="2" spans="1:44" x14ac:dyDescent="0.2">
      <c r="A2" s="7">
        <v>2009</v>
      </c>
      <c r="B2" s="7">
        <v>12</v>
      </c>
      <c r="C2" s="7" t="str">
        <f>CONCATENATE(A2,"-",B2)</f>
        <v>2009-12</v>
      </c>
      <c r="D2" s="7">
        <f>COUNTIFS(Sheet1!G:G,Sheet3!A2,Sheet1!F:F,Sheet3!B2)</f>
        <v>23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AD2" s="11">
        <f>IFERROR(LN(D2),"")</f>
        <v>3.1354942159291497</v>
      </c>
      <c r="AE2" s="6" t="s">
        <v>4357</v>
      </c>
      <c r="AF2" s="6">
        <f>MIN(D:D)</f>
        <v>0</v>
      </c>
      <c r="AG2" s="10">
        <f>MIN(AD:AD)</f>
        <v>0</v>
      </c>
      <c r="AH2" s="7">
        <v>1</v>
      </c>
      <c r="AI2" s="7">
        <f>SUMIFS(D:D,B:B,AH2)</f>
        <v>124</v>
      </c>
      <c r="AJ2" s="11">
        <f>0.2676*(ROW(AI2)-1)-2.777</f>
        <v>-2.5094000000000003</v>
      </c>
      <c r="AK2" s="13">
        <f>IFERROR((D2-AJ2)^2,"")</f>
        <v>650.72948836</v>
      </c>
      <c r="AN2" s="13">
        <f>AVERAGEIF($D$2:$D$118,"&gt;"&amp;0,$D$2:$D$118)</f>
        <v>14.495238095238095</v>
      </c>
      <c r="AO2" s="13">
        <f>IF(D2=0,"",(D2-AN2)^2)</f>
        <v>72.33097505668934</v>
      </c>
      <c r="AR2" s="7">
        <f>IF(D2=0,"",D2)</f>
        <v>23</v>
      </c>
    </row>
    <row r="3" spans="1:44" x14ac:dyDescent="0.2">
      <c r="A3" s="7">
        <v>2010</v>
      </c>
      <c r="B3" s="7">
        <v>1</v>
      </c>
      <c r="C3" s="7" t="str">
        <f t="shared" ref="C3:C66" si="1">CONCATENATE(A3,"-",B3)</f>
        <v>2010-1</v>
      </c>
      <c r="D3" s="7">
        <f>COUNTIFS(Sheet1!G:G,Sheet3!A3,Sheet1!F:F,Sheet3!B3)</f>
        <v>14</v>
      </c>
      <c r="E3" s="7">
        <f>D2</f>
        <v>23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AD3" s="11">
        <f t="shared" ref="AD3:AD66" si="2">IFERROR(LN(D3),"")</f>
        <v>2.6390573296152584</v>
      </c>
      <c r="AE3" s="6" t="s">
        <v>4358</v>
      </c>
      <c r="AF3" s="6">
        <v>10</v>
      </c>
      <c r="AG3" s="10">
        <f>AF3</f>
        <v>10</v>
      </c>
      <c r="AH3" s="7">
        <v>2</v>
      </c>
      <c r="AI3" s="7">
        <f t="shared" ref="AI3:AI13" si="3">SUMIFS(D:D,B:B,AH3)</f>
        <v>123</v>
      </c>
      <c r="AJ3" s="11">
        <f t="shared" ref="AJ3:AJ66" si="4">0.2676*(ROW(AI3)-1)-2.777</f>
        <v>-2.2418</v>
      </c>
      <c r="AK3" s="13">
        <f t="shared" ref="AK3:AK66" si="5">IFERROR((D3-AJ3)^2,"")</f>
        <v>263.79606724000007</v>
      </c>
      <c r="AN3" s="13">
        <f t="shared" ref="AN3:AN66" si="6">AVERAGEIF($D$2:$D$118,"&gt;"&amp;0,$D$2:$D$118)</f>
        <v>14.495238095238095</v>
      </c>
      <c r="AO3" s="13">
        <f t="shared" ref="AO3:AO66" si="7">IF(D3=0,"",(D3-AN3)^2)</f>
        <v>0.24526077097505672</v>
      </c>
      <c r="AR3" s="7">
        <f t="shared" ref="AR3:AR66" si="8">IF(D3=0,"",D3)</f>
        <v>14</v>
      </c>
    </row>
    <row r="4" spans="1:44" x14ac:dyDescent="0.2">
      <c r="A4" s="7">
        <f>A3</f>
        <v>2010</v>
      </c>
      <c r="B4" s="7">
        <f>B3+1</f>
        <v>2</v>
      </c>
      <c r="C4" s="7" t="str">
        <f t="shared" si="1"/>
        <v>2010-2</v>
      </c>
      <c r="D4" s="7">
        <f>COUNTIFS(Sheet1!G:G,Sheet3!A4,Sheet1!F:F,Sheet3!B4)</f>
        <v>5</v>
      </c>
      <c r="E4" s="7">
        <f t="shared" ref="E4:I67" si="9">D3</f>
        <v>14</v>
      </c>
      <c r="F4" s="7">
        <f>E3</f>
        <v>23</v>
      </c>
      <c r="G4" s="7"/>
      <c r="H4" s="7"/>
      <c r="I4" s="7"/>
      <c r="J4" s="7"/>
      <c r="K4" s="7"/>
      <c r="L4" s="7"/>
      <c r="M4" s="7"/>
      <c r="N4" s="7"/>
      <c r="O4" s="7"/>
      <c r="P4" s="7"/>
      <c r="AD4" s="11">
        <f t="shared" si="2"/>
        <v>1.6094379124341003</v>
      </c>
      <c r="AE4" s="6" t="s">
        <v>4359</v>
      </c>
      <c r="AF4" s="6">
        <f>(AF1-AF2)/AF3</f>
        <v>7.4</v>
      </c>
      <c r="AG4" s="10">
        <f>(AG1-AG2)/AG3</f>
        <v>0.43040650932041702</v>
      </c>
      <c r="AH4" s="7">
        <v>3</v>
      </c>
      <c r="AI4" s="7">
        <f t="shared" si="3"/>
        <v>103</v>
      </c>
      <c r="AJ4" s="11">
        <f t="shared" si="4"/>
        <v>-1.9742000000000002</v>
      </c>
      <c r="AK4" s="13">
        <f t="shared" si="5"/>
        <v>48.639465639999997</v>
      </c>
      <c r="AN4" s="13">
        <f t="shared" si="6"/>
        <v>14.495238095238095</v>
      </c>
      <c r="AO4" s="13">
        <f t="shared" si="7"/>
        <v>90.159546485260776</v>
      </c>
      <c r="AR4" s="7">
        <f t="shared" si="8"/>
        <v>5</v>
      </c>
    </row>
    <row r="5" spans="1:44" x14ac:dyDescent="0.2">
      <c r="A5" s="7">
        <f t="shared" ref="A5:A14" si="10">A4</f>
        <v>2010</v>
      </c>
      <c r="B5" s="7">
        <f t="shared" ref="B5:B14" si="11">B4+1</f>
        <v>3</v>
      </c>
      <c r="C5" s="7" t="str">
        <f t="shared" si="1"/>
        <v>2010-3</v>
      </c>
      <c r="D5" s="7">
        <f>COUNTIFS(Sheet1!G:G,Sheet3!A5,Sheet1!F:F,Sheet3!B5)</f>
        <v>21</v>
      </c>
      <c r="E5" s="7">
        <f t="shared" si="9"/>
        <v>5</v>
      </c>
      <c r="F5" s="7">
        <f t="shared" si="9"/>
        <v>14</v>
      </c>
      <c r="G5" s="7">
        <f>F4</f>
        <v>23</v>
      </c>
      <c r="H5" s="7"/>
      <c r="I5" s="7"/>
      <c r="J5" s="7"/>
      <c r="K5" s="7"/>
      <c r="L5" s="7"/>
      <c r="M5" s="7"/>
      <c r="N5" s="7"/>
      <c r="O5" s="7"/>
      <c r="P5" s="7"/>
      <c r="AD5" s="11">
        <f t="shared" si="2"/>
        <v>3.044522437723423</v>
      </c>
      <c r="AF5" s="6">
        <f>SKEW(D2:D118)</f>
        <v>1.8360113376532681</v>
      </c>
      <c r="AH5" s="7">
        <v>4</v>
      </c>
      <c r="AI5" s="7">
        <f t="shared" si="3"/>
        <v>101</v>
      </c>
      <c r="AJ5" s="11">
        <f t="shared" si="4"/>
        <v>-1.7066000000000001</v>
      </c>
      <c r="AK5" s="13">
        <f t="shared" si="5"/>
        <v>515.58968356000003</v>
      </c>
      <c r="AN5" s="13">
        <f t="shared" si="6"/>
        <v>14.495238095238095</v>
      </c>
      <c r="AO5" s="13">
        <f t="shared" si="7"/>
        <v>42.311927437641721</v>
      </c>
      <c r="AR5" s="7">
        <f t="shared" si="8"/>
        <v>21</v>
      </c>
    </row>
    <row r="6" spans="1:44" x14ac:dyDescent="0.2">
      <c r="A6" s="7">
        <f t="shared" si="10"/>
        <v>2010</v>
      </c>
      <c r="B6" s="7">
        <f t="shared" si="11"/>
        <v>4</v>
      </c>
      <c r="C6" s="7" t="str">
        <f t="shared" si="1"/>
        <v>2010-4</v>
      </c>
      <c r="D6" s="7">
        <f>COUNTIFS(Sheet1!G:G,Sheet3!A6,Sheet1!F:F,Sheet3!B6)</f>
        <v>23</v>
      </c>
      <c r="E6" s="7">
        <f t="shared" si="9"/>
        <v>21</v>
      </c>
      <c r="F6" s="7">
        <f t="shared" si="9"/>
        <v>5</v>
      </c>
      <c r="G6" s="7">
        <f t="shared" si="9"/>
        <v>14</v>
      </c>
      <c r="H6" s="7">
        <f>G5</f>
        <v>23</v>
      </c>
      <c r="I6" s="7"/>
      <c r="J6" s="7"/>
      <c r="K6" s="7"/>
      <c r="L6" s="7"/>
      <c r="M6" s="7"/>
      <c r="N6" s="7"/>
      <c r="O6" s="7"/>
      <c r="P6" s="7"/>
      <c r="AD6" s="11">
        <f t="shared" si="2"/>
        <v>3.1354942159291497</v>
      </c>
      <c r="AH6" s="7">
        <v>5</v>
      </c>
      <c r="AI6" s="7">
        <f t="shared" si="3"/>
        <v>116</v>
      </c>
      <c r="AJ6" s="11">
        <f t="shared" si="4"/>
        <v>-1.4390000000000001</v>
      </c>
      <c r="AK6" s="13">
        <f t="shared" si="5"/>
        <v>597.26472100000001</v>
      </c>
      <c r="AN6" s="13">
        <f t="shared" si="6"/>
        <v>14.495238095238095</v>
      </c>
      <c r="AO6" s="13">
        <f t="shared" si="7"/>
        <v>72.33097505668934</v>
      </c>
      <c r="AR6" s="7">
        <f t="shared" si="8"/>
        <v>23</v>
      </c>
    </row>
    <row r="7" spans="1:44" x14ac:dyDescent="0.2">
      <c r="A7" s="7">
        <f t="shared" si="10"/>
        <v>2010</v>
      </c>
      <c r="B7" s="7">
        <f t="shared" si="11"/>
        <v>5</v>
      </c>
      <c r="C7" s="7" t="str">
        <f t="shared" si="1"/>
        <v>2010-5</v>
      </c>
      <c r="D7" s="7">
        <f>COUNTIFS(Sheet1!G:G,Sheet3!A7,Sheet1!F:F,Sheet3!B7)</f>
        <v>18</v>
      </c>
      <c r="E7" s="7">
        <f t="shared" si="9"/>
        <v>23</v>
      </c>
      <c r="F7" s="7">
        <f t="shared" si="9"/>
        <v>21</v>
      </c>
      <c r="G7" s="7">
        <f t="shared" si="9"/>
        <v>5</v>
      </c>
      <c r="H7" s="7">
        <f t="shared" si="9"/>
        <v>14</v>
      </c>
      <c r="I7" s="7">
        <f>H6</f>
        <v>23</v>
      </c>
      <c r="J7" s="7"/>
      <c r="K7" s="7"/>
      <c r="L7" s="7"/>
      <c r="M7" s="7"/>
      <c r="N7" s="7"/>
      <c r="O7" s="7"/>
      <c r="P7" s="7"/>
      <c r="AD7" s="11">
        <f t="shared" si="2"/>
        <v>2.8903717578961645</v>
      </c>
      <c r="AF7" s="6">
        <f>SKEW(AD2:AD118)</f>
        <v>9.3854433567598802E-2</v>
      </c>
      <c r="AH7" s="7">
        <v>6</v>
      </c>
      <c r="AI7" s="7">
        <f t="shared" si="3"/>
        <v>116</v>
      </c>
      <c r="AJ7" s="11">
        <f t="shared" si="4"/>
        <v>-1.1714000000000002</v>
      </c>
      <c r="AK7" s="13">
        <f t="shared" si="5"/>
        <v>367.54257795999996</v>
      </c>
      <c r="AN7" s="13">
        <f t="shared" si="6"/>
        <v>14.495238095238095</v>
      </c>
      <c r="AO7" s="13">
        <f t="shared" si="7"/>
        <v>12.283356009070294</v>
      </c>
      <c r="AR7" s="7">
        <f t="shared" si="8"/>
        <v>18</v>
      </c>
    </row>
    <row r="8" spans="1:44" x14ac:dyDescent="0.2">
      <c r="A8" s="7">
        <f t="shared" si="10"/>
        <v>2010</v>
      </c>
      <c r="B8" s="7">
        <f t="shared" si="11"/>
        <v>6</v>
      </c>
      <c r="C8" s="7" t="str">
        <f t="shared" si="1"/>
        <v>2010-6</v>
      </c>
      <c r="D8" s="7">
        <f>COUNTIFS(Sheet1!G:G,Sheet3!A8,Sheet1!F:F,Sheet3!B8)</f>
        <v>6</v>
      </c>
      <c r="E8" s="7">
        <f t="shared" si="9"/>
        <v>18</v>
      </c>
      <c r="F8" s="7">
        <f t="shared" si="9"/>
        <v>23</v>
      </c>
      <c r="G8" s="7">
        <f t="shared" si="9"/>
        <v>21</v>
      </c>
      <c r="H8" s="7">
        <f t="shared" si="9"/>
        <v>5</v>
      </c>
      <c r="I8" s="7">
        <f t="shared" si="9"/>
        <v>14</v>
      </c>
      <c r="J8" s="7">
        <f>I7</f>
        <v>23</v>
      </c>
      <c r="K8" s="7"/>
      <c r="L8" s="7"/>
      <c r="M8" s="7"/>
      <c r="N8" s="7"/>
      <c r="O8" s="7"/>
      <c r="P8" s="7"/>
      <c r="AD8" s="11">
        <f t="shared" si="2"/>
        <v>1.791759469228055</v>
      </c>
      <c r="AH8" s="7">
        <v>7</v>
      </c>
      <c r="AI8" s="7">
        <f t="shared" si="3"/>
        <v>158</v>
      </c>
      <c r="AJ8" s="11">
        <f t="shared" si="4"/>
        <v>-0.90380000000000016</v>
      </c>
      <c r="AK8" s="13">
        <f t="shared" si="5"/>
        <v>47.662454440000005</v>
      </c>
      <c r="AN8" s="13">
        <f t="shared" si="6"/>
        <v>14.495238095238095</v>
      </c>
      <c r="AO8" s="13">
        <f t="shared" si="7"/>
        <v>72.169070294784575</v>
      </c>
      <c r="AR8" s="7">
        <f t="shared" si="8"/>
        <v>6</v>
      </c>
    </row>
    <row r="9" spans="1:44" x14ac:dyDescent="0.2">
      <c r="A9" s="7">
        <f t="shared" si="10"/>
        <v>2010</v>
      </c>
      <c r="B9" s="7">
        <f t="shared" si="11"/>
        <v>7</v>
      </c>
      <c r="C9" s="7" t="str">
        <f t="shared" si="1"/>
        <v>2010-7</v>
      </c>
      <c r="D9" s="7">
        <f>COUNTIFS(Sheet1!G:G,Sheet3!A9,Sheet1!F:F,Sheet3!B9)</f>
        <v>14</v>
      </c>
      <c r="E9" s="7">
        <f t="shared" si="9"/>
        <v>6</v>
      </c>
      <c r="F9" s="7">
        <f t="shared" si="9"/>
        <v>18</v>
      </c>
      <c r="G9" s="7">
        <f t="shared" si="9"/>
        <v>23</v>
      </c>
      <c r="H9" s="7">
        <f t="shared" si="9"/>
        <v>21</v>
      </c>
      <c r="I9" s="7">
        <f t="shared" si="9"/>
        <v>5</v>
      </c>
      <c r="J9" s="7">
        <f t="shared" ref="J9:N72" si="12">I8</f>
        <v>14</v>
      </c>
      <c r="K9" s="7">
        <f>J8</f>
        <v>23</v>
      </c>
      <c r="L9" s="7"/>
      <c r="M9" s="7"/>
      <c r="N9" s="7"/>
      <c r="O9" s="7"/>
      <c r="P9" s="7"/>
      <c r="AD9" s="11">
        <f t="shared" si="2"/>
        <v>2.6390573296152584</v>
      </c>
      <c r="AH9" s="7">
        <v>8</v>
      </c>
      <c r="AI9" s="7">
        <f t="shared" si="3"/>
        <v>150</v>
      </c>
      <c r="AJ9" s="11">
        <f t="shared" si="4"/>
        <v>-0.6362000000000001</v>
      </c>
      <c r="AK9" s="13">
        <f t="shared" si="5"/>
        <v>214.21835044000002</v>
      </c>
      <c r="AN9" s="13">
        <f t="shared" si="6"/>
        <v>14.495238095238095</v>
      </c>
      <c r="AO9" s="13">
        <f t="shared" si="7"/>
        <v>0.24526077097505672</v>
      </c>
      <c r="AR9" s="7">
        <f t="shared" si="8"/>
        <v>14</v>
      </c>
    </row>
    <row r="10" spans="1:44" x14ac:dyDescent="0.2">
      <c r="A10" s="7">
        <f t="shared" si="10"/>
        <v>2010</v>
      </c>
      <c r="B10" s="7">
        <f t="shared" si="11"/>
        <v>8</v>
      </c>
      <c r="C10" s="7" t="str">
        <f t="shared" si="1"/>
        <v>2010-8</v>
      </c>
      <c r="D10" s="7">
        <f>COUNTIFS(Sheet1!G:G,Sheet3!A10,Sheet1!F:F,Sheet3!B10)</f>
        <v>9</v>
      </c>
      <c r="E10" s="7">
        <f t="shared" si="9"/>
        <v>14</v>
      </c>
      <c r="F10" s="7">
        <f t="shared" si="9"/>
        <v>6</v>
      </c>
      <c r="G10" s="7">
        <f t="shared" si="9"/>
        <v>18</v>
      </c>
      <c r="H10" s="7">
        <f t="shared" si="9"/>
        <v>23</v>
      </c>
      <c r="I10" s="7">
        <f t="shared" si="9"/>
        <v>21</v>
      </c>
      <c r="J10" s="7">
        <f t="shared" si="12"/>
        <v>5</v>
      </c>
      <c r="K10" s="7">
        <f t="shared" si="12"/>
        <v>14</v>
      </c>
      <c r="L10" s="7">
        <f>K9</f>
        <v>23</v>
      </c>
      <c r="M10" s="7"/>
      <c r="N10" s="7"/>
      <c r="O10" s="7"/>
      <c r="P10" s="7"/>
      <c r="AD10" s="11">
        <f t="shared" si="2"/>
        <v>2.1972245773362196</v>
      </c>
      <c r="AH10" s="7">
        <v>9</v>
      </c>
      <c r="AI10" s="7">
        <f t="shared" si="3"/>
        <v>105</v>
      </c>
      <c r="AJ10" s="11">
        <f t="shared" si="4"/>
        <v>-0.36860000000000026</v>
      </c>
      <c r="AK10" s="13">
        <f t="shared" si="5"/>
        <v>87.770665960000017</v>
      </c>
      <c r="AN10" s="13">
        <f t="shared" si="6"/>
        <v>14.495238095238095</v>
      </c>
      <c r="AO10" s="13">
        <f t="shared" si="7"/>
        <v>30.197641723356011</v>
      </c>
      <c r="AR10" s="7">
        <f t="shared" si="8"/>
        <v>9</v>
      </c>
    </row>
    <row r="11" spans="1:44" x14ac:dyDescent="0.2">
      <c r="A11" s="7">
        <f t="shared" si="10"/>
        <v>2010</v>
      </c>
      <c r="B11" s="7">
        <f t="shared" si="11"/>
        <v>9</v>
      </c>
      <c r="C11" s="7" t="str">
        <f t="shared" si="1"/>
        <v>2010-9</v>
      </c>
      <c r="D11" s="7">
        <f>COUNTIFS(Sheet1!G:G,Sheet3!A11,Sheet1!F:F,Sheet3!B11)</f>
        <v>5</v>
      </c>
      <c r="E11" s="7">
        <f t="shared" si="9"/>
        <v>9</v>
      </c>
      <c r="F11" s="7">
        <f t="shared" si="9"/>
        <v>14</v>
      </c>
      <c r="G11" s="7">
        <f t="shared" si="9"/>
        <v>6</v>
      </c>
      <c r="H11" s="7">
        <f t="shared" si="9"/>
        <v>18</v>
      </c>
      <c r="I11" s="7">
        <f t="shared" si="9"/>
        <v>23</v>
      </c>
      <c r="J11" s="7">
        <f t="shared" si="12"/>
        <v>21</v>
      </c>
      <c r="K11" s="7">
        <f t="shared" si="12"/>
        <v>5</v>
      </c>
      <c r="L11" s="7">
        <f t="shared" si="12"/>
        <v>14</v>
      </c>
      <c r="M11" s="7">
        <f>L10</f>
        <v>23</v>
      </c>
      <c r="N11" s="7"/>
      <c r="O11" s="7"/>
      <c r="P11" s="7"/>
      <c r="AD11" s="11">
        <f t="shared" si="2"/>
        <v>1.6094379124341003</v>
      </c>
      <c r="AH11" s="7">
        <v>10</v>
      </c>
      <c r="AI11" s="7">
        <f t="shared" si="3"/>
        <v>146</v>
      </c>
      <c r="AJ11" s="11">
        <f t="shared" si="4"/>
        <v>-0.10099999999999998</v>
      </c>
      <c r="AK11" s="13">
        <f t="shared" si="5"/>
        <v>26.020201</v>
      </c>
      <c r="AN11" s="13">
        <f t="shared" si="6"/>
        <v>14.495238095238095</v>
      </c>
      <c r="AO11" s="13">
        <f t="shared" si="7"/>
        <v>90.159546485260776</v>
      </c>
      <c r="AR11" s="7">
        <f t="shared" si="8"/>
        <v>5</v>
      </c>
    </row>
    <row r="12" spans="1:44" x14ac:dyDescent="0.2">
      <c r="A12" s="7">
        <f t="shared" si="10"/>
        <v>2010</v>
      </c>
      <c r="B12" s="7">
        <f t="shared" si="11"/>
        <v>10</v>
      </c>
      <c r="C12" s="7" t="str">
        <f t="shared" si="1"/>
        <v>2010-10</v>
      </c>
      <c r="D12" s="7">
        <f>COUNTIFS(Sheet1!G:G,Sheet3!A12,Sheet1!F:F,Sheet3!B12)</f>
        <v>6</v>
      </c>
      <c r="E12" s="7">
        <f t="shared" si="9"/>
        <v>5</v>
      </c>
      <c r="F12" s="7">
        <f t="shared" si="9"/>
        <v>9</v>
      </c>
      <c r="G12" s="7">
        <f t="shared" si="9"/>
        <v>14</v>
      </c>
      <c r="H12" s="7">
        <f t="shared" si="9"/>
        <v>6</v>
      </c>
      <c r="I12" s="7">
        <f t="shared" si="9"/>
        <v>18</v>
      </c>
      <c r="J12" s="7">
        <f t="shared" si="12"/>
        <v>23</v>
      </c>
      <c r="K12" s="7">
        <f t="shared" si="12"/>
        <v>21</v>
      </c>
      <c r="L12" s="7">
        <f t="shared" si="12"/>
        <v>5</v>
      </c>
      <c r="M12" s="7">
        <f t="shared" si="12"/>
        <v>14</v>
      </c>
      <c r="N12" s="7">
        <f>M11</f>
        <v>23</v>
      </c>
      <c r="O12" s="7"/>
      <c r="P12" s="7"/>
      <c r="AD12" s="11">
        <f t="shared" si="2"/>
        <v>1.791759469228055</v>
      </c>
      <c r="AH12" s="7">
        <v>11</v>
      </c>
      <c r="AI12" s="7">
        <f t="shared" si="3"/>
        <v>135</v>
      </c>
      <c r="AJ12" s="11">
        <f t="shared" si="4"/>
        <v>0.16659999999999986</v>
      </c>
      <c r="AK12" s="13">
        <f t="shared" si="5"/>
        <v>34.028555560000001</v>
      </c>
      <c r="AN12" s="13">
        <f t="shared" si="6"/>
        <v>14.495238095238095</v>
      </c>
      <c r="AO12" s="13">
        <f t="shared" si="7"/>
        <v>72.169070294784575</v>
      </c>
      <c r="AR12" s="7">
        <f t="shared" si="8"/>
        <v>6</v>
      </c>
    </row>
    <row r="13" spans="1:44" x14ac:dyDescent="0.2">
      <c r="A13" s="7">
        <f t="shared" si="10"/>
        <v>2010</v>
      </c>
      <c r="B13" s="7">
        <f t="shared" si="11"/>
        <v>11</v>
      </c>
      <c r="C13" s="7" t="str">
        <f t="shared" si="1"/>
        <v>2010-11</v>
      </c>
      <c r="D13" s="7">
        <f>COUNTIFS(Sheet1!G:G,Sheet3!A13,Sheet1!F:F,Sheet3!B13)</f>
        <v>6</v>
      </c>
      <c r="E13" s="7">
        <f t="shared" si="9"/>
        <v>6</v>
      </c>
      <c r="F13" s="7">
        <f t="shared" si="9"/>
        <v>5</v>
      </c>
      <c r="G13" s="7">
        <f t="shared" si="9"/>
        <v>9</v>
      </c>
      <c r="H13" s="7">
        <f t="shared" si="9"/>
        <v>14</v>
      </c>
      <c r="I13" s="7">
        <f t="shared" ref="I13:M76" si="13">H12</f>
        <v>6</v>
      </c>
      <c r="J13" s="7">
        <f t="shared" si="12"/>
        <v>18</v>
      </c>
      <c r="K13" s="7">
        <f t="shared" si="12"/>
        <v>23</v>
      </c>
      <c r="L13" s="7">
        <f t="shared" si="12"/>
        <v>21</v>
      </c>
      <c r="M13" s="7">
        <f t="shared" si="12"/>
        <v>5</v>
      </c>
      <c r="N13" s="7">
        <f t="shared" si="12"/>
        <v>14</v>
      </c>
      <c r="O13" s="7">
        <f>N12</f>
        <v>23</v>
      </c>
      <c r="P13" s="7"/>
      <c r="AD13" s="11">
        <f t="shared" si="2"/>
        <v>1.791759469228055</v>
      </c>
      <c r="AH13" s="7">
        <v>12</v>
      </c>
      <c r="AI13" s="7">
        <f t="shared" si="3"/>
        <v>145</v>
      </c>
      <c r="AJ13" s="11">
        <f t="shared" si="4"/>
        <v>0.4341999999999997</v>
      </c>
      <c r="AK13" s="13">
        <f t="shared" si="5"/>
        <v>30.978129640000002</v>
      </c>
      <c r="AN13" s="13">
        <f t="shared" si="6"/>
        <v>14.495238095238095</v>
      </c>
      <c r="AO13" s="13">
        <f t="shared" si="7"/>
        <v>72.169070294784575</v>
      </c>
      <c r="AR13" s="7">
        <f t="shared" si="8"/>
        <v>6</v>
      </c>
    </row>
    <row r="14" spans="1:44" x14ac:dyDescent="0.2">
      <c r="A14" s="7">
        <f t="shared" si="10"/>
        <v>2010</v>
      </c>
      <c r="B14" s="7">
        <f t="shared" si="11"/>
        <v>12</v>
      </c>
      <c r="C14" s="7" t="str">
        <f t="shared" si="1"/>
        <v>2010-12</v>
      </c>
      <c r="D14" s="7">
        <f>COUNTIFS(Sheet1!G:G,Sheet3!A14,Sheet1!F:F,Sheet3!B14)</f>
        <v>3</v>
      </c>
      <c r="E14" s="7">
        <f t="shared" si="9"/>
        <v>6</v>
      </c>
      <c r="F14" s="7">
        <f t="shared" si="9"/>
        <v>6</v>
      </c>
      <c r="G14" s="7">
        <f t="shared" si="9"/>
        <v>5</v>
      </c>
      <c r="H14" s="7">
        <f t="shared" si="9"/>
        <v>9</v>
      </c>
      <c r="I14" s="7">
        <f t="shared" si="13"/>
        <v>14</v>
      </c>
      <c r="J14" s="7">
        <f t="shared" si="12"/>
        <v>6</v>
      </c>
      <c r="K14" s="7">
        <f t="shared" si="12"/>
        <v>18</v>
      </c>
      <c r="L14" s="7">
        <f t="shared" si="12"/>
        <v>23</v>
      </c>
      <c r="M14" s="7">
        <f t="shared" si="12"/>
        <v>21</v>
      </c>
      <c r="N14" s="7">
        <f t="shared" si="12"/>
        <v>5</v>
      </c>
      <c r="O14" s="7">
        <f t="shared" ref="O14:P77" si="14">N13</f>
        <v>14</v>
      </c>
      <c r="P14" s="7">
        <f>O13</f>
        <v>23</v>
      </c>
      <c r="AD14" s="11">
        <f t="shared" si="2"/>
        <v>1.0986122886681098</v>
      </c>
      <c r="AJ14" s="11">
        <f t="shared" si="4"/>
        <v>0.70179999999999998</v>
      </c>
      <c r="AK14" s="13">
        <f t="shared" si="5"/>
        <v>5.2817232399999998</v>
      </c>
      <c r="AN14" s="13">
        <f t="shared" si="6"/>
        <v>14.495238095238095</v>
      </c>
      <c r="AO14" s="13">
        <f t="shared" si="7"/>
        <v>132.14049886621316</v>
      </c>
      <c r="AR14" s="7">
        <f t="shared" si="8"/>
        <v>3</v>
      </c>
    </row>
    <row r="15" spans="1:44" x14ac:dyDescent="0.2">
      <c r="A15" s="7">
        <f>A3+1</f>
        <v>2011</v>
      </c>
      <c r="B15" s="7">
        <f>B3</f>
        <v>1</v>
      </c>
      <c r="C15" s="7" t="str">
        <f t="shared" si="1"/>
        <v>2011-1</v>
      </c>
      <c r="D15" s="7">
        <f>COUNTIFS(Sheet1!G:G,Sheet3!A15,Sheet1!F:F,Sheet3!B15)</f>
        <v>0</v>
      </c>
      <c r="E15" s="7">
        <f t="shared" si="9"/>
        <v>3</v>
      </c>
      <c r="F15" s="7">
        <f t="shared" si="9"/>
        <v>6</v>
      </c>
      <c r="G15" s="7">
        <f t="shared" si="9"/>
        <v>6</v>
      </c>
      <c r="H15" s="7">
        <f t="shared" si="9"/>
        <v>5</v>
      </c>
      <c r="I15" s="7">
        <f t="shared" si="13"/>
        <v>9</v>
      </c>
      <c r="J15" s="7">
        <f t="shared" si="12"/>
        <v>14</v>
      </c>
      <c r="K15" s="7">
        <f t="shared" si="12"/>
        <v>6</v>
      </c>
      <c r="L15" s="7">
        <f t="shared" si="12"/>
        <v>18</v>
      </c>
      <c r="M15" s="7">
        <f t="shared" si="12"/>
        <v>23</v>
      </c>
      <c r="N15" s="7">
        <f t="shared" si="12"/>
        <v>21</v>
      </c>
      <c r="O15" s="7">
        <f t="shared" si="14"/>
        <v>5</v>
      </c>
      <c r="P15" s="7">
        <f t="shared" si="14"/>
        <v>14</v>
      </c>
      <c r="AD15" s="11" t="str">
        <f t="shared" si="2"/>
        <v/>
      </c>
      <c r="AJ15" s="11">
        <f t="shared" si="4"/>
        <v>0.96939999999999982</v>
      </c>
      <c r="AK15" s="13">
        <f t="shared" si="5"/>
        <v>0.9397363599999996</v>
      </c>
      <c r="AN15" s="13">
        <f t="shared" si="6"/>
        <v>14.495238095238095</v>
      </c>
      <c r="AO15" s="13" t="str">
        <f t="shared" si="7"/>
        <v/>
      </c>
      <c r="AR15" s="7" t="str">
        <f t="shared" si="8"/>
        <v/>
      </c>
    </row>
    <row r="16" spans="1:44" x14ac:dyDescent="0.2">
      <c r="A16" s="7">
        <f t="shared" ref="A16:A79" si="15">A4+1</f>
        <v>2011</v>
      </c>
      <c r="B16" s="7">
        <f t="shared" ref="B16:B79" si="16">B4</f>
        <v>2</v>
      </c>
      <c r="C16" s="7" t="str">
        <f t="shared" si="1"/>
        <v>2011-2</v>
      </c>
      <c r="D16" s="7">
        <f>COUNTIFS(Sheet1!G:G,Sheet3!A16,Sheet1!F:F,Sheet3!B16)</f>
        <v>5</v>
      </c>
      <c r="E16" s="7">
        <f t="shared" si="9"/>
        <v>0</v>
      </c>
      <c r="F16" s="7">
        <f t="shared" si="9"/>
        <v>3</v>
      </c>
      <c r="G16" s="7">
        <f t="shared" si="9"/>
        <v>6</v>
      </c>
      <c r="H16" s="7">
        <f t="shared" si="9"/>
        <v>6</v>
      </c>
      <c r="I16" s="7">
        <f t="shared" si="13"/>
        <v>5</v>
      </c>
      <c r="J16" s="7">
        <f t="shared" si="12"/>
        <v>9</v>
      </c>
      <c r="K16" s="7">
        <f t="shared" si="12"/>
        <v>14</v>
      </c>
      <c r="L16" s="7">
        <f t="shared" si="12"/>
        <v>6</v>
      </c>
      <c r="M16" s="7">
        <f t="shared" si="12"/>
        <v>18</v>
      </c>
      <c r="N16" s="7">
        <f t="shared" si="12"/>
        <v>23</v>
      </c>
      <c r="O16" s="7">
        <f t="shared" si="14"/>
        <v>21</v>
      </c>
      <c r="P16" s="7">
        <f t="shared" si="14"/>
        <v>5</v>
      </c>
      <c r="AD16" s="11">
        <f t="shared" si="2"/>
        <v>1.6094379124341003</v>
      </c>
      <c r="AJ16" s="11">
        <f t="shared" si="4"/>
        <v>1.2370000000000001</v>
      </c>
      <c r="AK16" s="13">
        <f t="shared" si="5"/>
        <v>14.160169</v>
      </c>
      <c r="AN16" s="13">
        <f t="shared" si="6"/>
        <v>14.495238095238095</v>
      </c>
      <c r="AO16" s="13">
        <f t="shared" si="7"/>
        <v>90.159546485260776</v>
      </c>
      <c r="AR16" s="7">
        <f t="shared" si="8"/>
        <v>5</v>
      </c>
    </row>
    <row r="17" spans="1:44" x14ac:dyDescent="0.2">
      <c r="A17" s="7">
        <f t="shared" si="15"/>
        <v>2011</v>
      </c>
      <c r="B17" s="7">
        <f t="shared" si="16"/>
        <v>3</v>
      </c>
      <c r="C17" s="7" t="str">
        <f t="shared" si="1"/>
        <v>2011-3</v>
      </c>
      <c r="D17" s="7">
        <f>COUNTIFS(Sheet1!G:G,Sheet3!A17,Sheet1!F:F,Sheet3!B17)</f>
        <v>0</v>
      </c>
      <c r="E17" s="7">
        <f t="shared" si="9"/>
        <v>5</v>
      </c>
      <c r="F17" s="7">
        <f t="shared" si="9"/>
        <v>0</v>
      </c>
      <c r="G17" s="7">
        <f t="shared" si="9"/>
        <v>3</v>
      </c>
      <c r="H17" s="7">
        <f t="shared" si="9"/>
        <v>6</v>
      </c>
      <c r="I17" s="7">
        <f t="shared" si="13"/>
        <v>6</v>
      </c>
      <c r="J17" s="7">
        <f t="shared" si="12"/>
        <v>5</v>
      </c>
      <c r="K17" s="7">
        <f t="shared" si="12"/>
        <v>9</v>
      </c>
      <c r="L17" s="7">
        <f t="shared" si="12"/>
        <v>14</v>
      </c>
      <c r="M17" s="7">
        <f t="shared" si="12"/>
        <v>6</v>
      </c>
      <c r="N17" s="7">
        <f t="shared" si="12"/>
        <v>18</v>
      </c>
      <c r="O17" s="7">
        <f t="shared" si="14"/>
        <v>23</v>
      </c>
      <c r="P17" s="7">
        <f t="shared" si="14"/>
        <v>21</v>
      </c>
      <c r="AD17" s="11" t="str">
        <f t="shared" si="2"/>
        <v/>
      </c>
      <c r="AJ17" s="11">
        <f t="shared" si="4"/>
        <v>1.5045999999999999</v>
      </c>
      <c r="AK17" s="13">
        <f t="shared" si="5"/>
        <v>2.26382116</v>
      </c>
      <c r="AN17" s="13">
        <f t="shared" si="6"/>
        <v>14.495238095238095</v>
      </c>
      <c r="AO17" s="13" t="str">
        <f t="shared" si="7"/>
        <v/>
      </c>
      <c r="AR17" s="7" t="str">
        <f t="shared" si="8"/>
        <v/>
      </c>
    </row>
    <row r="18" spans="1:44" x14ac:dyDescent="0.2">
      <c r="A18" s="7">
        <f t="shared" si="15"/>
        <v>2011</v>
      </c>
      <c r="B18" s="7">
        <f t="shared" si="16"/>
        <v>4</v>
      </c>
      <c r="C18" s="7" t="str">
        <f t="shared" si="1"/>
        <v>2011-4</v>
      </c>
      <c r="D18" s="7">
        <f>COUNTIFS(Sheet1!G:G,Sheet3!A18,Sheet1!F:F,Sheet3!B18)</f>
        <v>0</v>
      </c>
      <c r="E18" s="7">
        <f t="shared" si="9"/>
        <v>0</v>
      </c>
      <c r="F18" s="7">
        <f t="shared" si="9"/>
        <v>5</v>
      </c>
      <c r="G18" s="7">
        <f t="shared" si="9"/>
        <v>0</v>
      </c>
      <c r="H18" s="7">
        <f t="shared" si="9"/>
        <v>3</v>
      </c>
      <c r="I18" s="7">
        <f t="shared" si="13"/>
        <v>6</v>
      </c>
      <c r="J18" s="7">
        <f t="shared" si="12"/>
        <v>6</v>
      </c>
      <c r="K18" s="7">
        <f t="shared" si="12"/>
        <v>5</v>
      </c>
      <c r="L18" s="7">
        <f t="shared" si="12"/>
        <v>9</v>
      </c>
      <c r="M18" s="7">
        <f t="shared" si="12"/>
        <v>14</v>
      </c>
      <c r="N18" s="7">
        <f t="shared" ref="N18:P81" si="17">M17</f>
        <v>6</v>
      </c>
      <c r="O18" s="7">
        <f t="shared" si="14"/>
        <v>18</v>
      </c>
      <c r="P18" s="7">
        <f t="shared" si="14"/>
        <v>23</v>
      </c>
      <c r="AD18" s="11" t="str">
        <f t="shared" si="2"/>
        <v/>
      </c>
      <c r="AJ18" s="11">
        <f t="shared" si="4"/>
        <v>1.7721999999999998</v>
      </c>
      <c r="AK18" s="13">
        <f t="shared" si="5"/>
        <v>3.1406928399999994</v>
      </c>
      <c r="AN18" s="13">
        <f t="shared" si="6"/>
        <v>14.495238095238095</v>
      </c>
      <c r="AO18" s="13" t="str">
        <f t="shared" si="7"/>
        <v/>
      </c>
      <c r="AR18" s="7" t="str">
        <f t="shared" si="8"/>
        <v/>
      </c>
    </row>
    <row r="19" spans="1:44" x14ac:dyDescent="0.2">
      <c r="A19" s="7">
        <f t="shared" si="15"/>
        <v>2011</v>
      </c>
      <c r="B19" s="7">
        <f t="shared" si="16"/>
        <v>5</v>
      </c>
      <c r="C19" s="7" t="str">
        <f t="shared" si="1"/>
        <v>2011-5</v>
      </c>
      <c r="D19" s="7">
        <f>COUNTIFS(Sheet1!G:G,Sheet3!A19,Sheet1!F:F,Sheet3!B19)</f>
        <v>2</v>
      </c>
      <c r="E19" s="7">
        <f t="shared" si="9"/>
        <v>0</v>
      </c>
      <c r="F19" s="7">
        <f t="shared" si="9"/>
        <v>0</v>
      </c>
      <c r="G19" s="7">
        <f t="shared" si="9"/>
        <v>5</v>
      </c>
      <c r="H19" s="7">
        <f t="shared" si="9"/>
        <v>0</v>
      </c>
      <c r="I19" s="7">
        <f t="shared" si="13"/>
        <v>3</v>
      </c>
      <c r="J19" s="7">
        <f t="shared" si="12"/>
        <v>6</v>
      </c>
      <c r="K19" s="7">
        <f t="shared" si="12"/>
        <v>6</v>
      </c>
      <c r="L19" s="7">
        <f t="shared" si="12"/>
        <v>5</v>
      </c>
      <c r="M19" s="7">
        <f t="shared" si="12"/>
        <v>9</v>
      </c>
      <c r="N19" s="7">
        <f t="shared" si="17"/>
        <v>14</v>
      </c>
      <c r="O19" s="7">
        <f t="shared" si="14"/>
        <v>6</v>
      </c>
      <c r="P19" s="7">
        <f t="shared" si="14"/>
        <v>18</v>
      </c>
      <c r="AD19" s="11">
        <f t="shared" si="2"/>
        <v>0.69314718055994529</v>
      </c>
      <c r="AJ19" s="11">
        <f t="shared" si="4"/>
        <v>2.0397999999999996</v>
      </c>
      <c r="AK19" s="13">
        <f t="shared" si="5"/>
        <v>1.5840399999999693E-3</v>
      </c>
      <c r="AN19" s="13">
        <f t="shared" si="6"/>
        <v>14.495238095238095</v>
      </c>
      <c r="AO19" s="13">
        <f t="shared" si="7"/>
        <v>156.13097505668935</v>
      </c>
      <c r="AR19" s="7">
        <f t="shared" si="8"/>
        <v>2</v>
      </c>
    </row>
    <row r="20" spans="1:44" x14ac:dyDescent="0.2">
      <c r="A20" s="7">
        <f t="shared" si="15"/>
        <v>2011</v>
      </c>
      <c r="B20" s="7">
        <f t="shared" si="16"/>
        <v>6</v>
      </c>
      <c r="C20" s="7" t="str">
        <f t="shared" si="1"/>
        <v>2011-6</v>
      </c>
      <c r="D20" s="7">
        <f>COUNTIFS(Sheet1!G:G,Sheet3!A20,Sheet1!F:F,Sheet3!B20)</f>
        <v>1</v>
      </c>
      <c r="E20" s="7">
        <f t="shared" si="9"/>
        <v>2</v>
      </c>
      <c r="F20" s="7">
        <f t="shared" si="9"/>
        <v>0</v>
      </c>
      <c r="G20" s="7">
        <f t="shared" si="9"/>
        <v>0</v>
      </c>
      <c r="H20" s="7">
        <f t="shared" si="9"/>
        <v>5</v>
      </c>
      <c r="I20" s="7">
        <f t="shared" si="13"/>
        <v>0</v>
      </c>
      <c r="J20" s="7">
        <f t="shared" si="12"/>
        <v>3</v>
      </c>
      <c r="K20" s="7">
        <f t="shared" si="12"/>
        <v>6</v>
      </c>
      <c r="L20" s="7">
        <f t="shared" si="12"/>
        <v>6</v>
      </c>
      <c r="M20" s="7">
        <f t="shared" si="12"/>
        <v>5</v>
      </c>
      <c r="N20" s="7">
        <f t="shared" si="17"/>
        <v>9</v>
      </c>
      <c r="O20" s="7">
        <f t="shared" si="14"/>
        <v>14</v>
      </c>
      <c r="P20" s="7">
        <f t="shared" si="14"/>
        <v>6</v>
      </c>
      <c r="AD20" s="11">
        <f t="shared" si="2"/>
        <v>0</v>
      </c>
      <c r="AJ20" s="11">
        <f t="shared" si="4"/>
        <v>2.3074000000000003</v>
      </c>
      <c r="AK20" s="13">
        <f t="shared" si="5"/>
        <v>1.7092947600000008</v>
      </c>
      <c r="AN20" s="13">
        <f t="shared" si="6"/>
        <v>14.495238095238095</v>
      </c>
      <c r="AO20" s="13">
        <f t="shared" si="7"/>
        <v>182.12145124716554</v>
      </c>
      <c r="AR20" s="7">
        <f t="shared" si="8"/>
        <v>1</v>
      </c>
    </row>
    <row r="21" spans="1:44" x14ac:dyDescent="0.2">
      <c r="A21" s="7">
        <f t="shared" si="15"/>
        <v>2011</v>
      </c>
      <c r="B21" s="7">
        <f t="shared" si="16"/>
        <v>7</v>
      </c>
      <c r="C21" s="7" t="str">
        <f t="shared" si="1"/>
        <v>2011-7</v>
      </c>
      <c r="D21" s="7">
        <f>COUNTIFS(Sheet1!G:G,Sheet3!A21,Sheet1!F:F,Sheet3!B21)</f>
        <v>4</v>
      </c>
      <c r="E21" s="7">
        <f t="shared" si="9"/>
        <v>1</v>
      </c>
      <c r="F21" s="7">
        <f t="shared" si="9"/>
        <v>2</v>
      </c>
      <c r="G21" s="7">
        <f t="shared" si="9"/>
        <v>0</v>
      </c>
      <c r="H21" s="7">
        <f t="shared" si="9"/>
        <v>0</v>
      </c>
      <c r="I21" s="7">
        <f t="shared" si="13"/>
        <v>5</v>
      </c>
      <c r="J21" s="7">
        <f t="shared" si="12"/>
        <v>0</v>
      </c>
      <c r="K21" s="7">
        <f t="shared" si="12"/>
        <v>3</v>
      </c>
      <c r="L21" s="7">
        <f t="shared" si="12"/>
        <v>6</v>
      </c>
      <c r="M21" s="7">
        <f t="shared" si="12"/>
        <v>6</v>
      </c>
      <c r="N21" s="7">
        <f t="shared" si="17"/>
        <v>5</v>
      </c>
      <c r="O21" s="7">
        <f t="shared" si="14"/>
        <v>9</v>
      </c>
      <c r="P21" s="7">
        <f t="shared" si="14"/>
        <v>14</v>
      </c>
      <c r="AD21" s="11">
        <f t="shared" si="2"/>
        <v>1.3862943611198906</v>
      </c>
      <c r="AJ21" s="11">
        <f t="shared" si="4"/>
        <v>2.5750000000000002</v>
      </c>
      <c r="AK21" s="13">
        <f t="shared" si="5"/>
        <v>2.0306249999999997</v>
      </c>
      <c r="AN21" s="13">
        <f t="shared" si="6"/>
        <v>14.495238095238095</v>
      </c>
      <c r="AO21" s="13">
        <f t="shared" si="7"/>
        <v>110.15002267573696</v>
      </c>
      <c r="AR21" s="7">
        <f t="shared" si="8"/>
        <v>4</v>
      </c>
    </row>
    <row r="22" spans="1:44" x14ac:dyDescent="0.2">
      <c r="A22" s="7">
        <f t="shared" si="15"/>
        <v>2011</v>
      </c>
      <c r="B22" s="7">
        <f t="shared" si="16"/>
        <v>8</v>
      </c>
      <c r="C22" s="7" t="str">
        <f t="shared" si="1"/>
        <v>2011-8</v>
      </c>
      <c r="D22" s="7">
        <f>COUNTIFS(Sheet1!G:G,Sheet3!A22,Sheet1!F:F,Sheet3!B22)</f>
        <v>5</v>
      </c>
      <c r="E22" s="7">
        <f t="shared" si="9"/>
        <v>4</v>
      </c>
      <c r="F22" s="7">
        <f t="shared" si="9"/>
        <v>1</v>
      </c>
      <c r="G22" s="7">
        <f t="shared" si="9"/>
        <v>2</v>
      </c>
      <c r="H22" s="7">
        <f t="shared" si="9"/>
        <v>0</v>
      </c>
      <c r="I22" s="7">
        <f t="shared" si="13"/>
        <v>0</v>
      </c>
      <c r="J22" s="7">
        <f t="shared" si="12"/>
        <v>5</v>
      </c>
      <c r="K22" s="7">
        <f t="shared" si="12"/>
        <v>0</v>
      </c>
      <c r="L22" s="7">
        <f t="shared" si="12"/>
        <v>3</v>
      </c>
      <c r="M22" s="7">
        <f t="shared" si="12"/>
        <v>6</v>
      </c>
      <c r="N22" s="7">
        <f t="shared" si="17"/>
        <v>6</v>
      </c>
      <c r="O22" s="7">
        <f t="shared" si="14"/>
        <v>5</v>
      </c>
      <c r="P22" s="7">
        <f t="shared" si="14"/>
        <v>9</v>
      </c>
      <c r="AD22" s="11">
        <f t="shared" si="2"/>
        <v>1.6094379124341003</v>
      </c>
      <c r="AJ22" s="11">
        <f t="shared" si="4"/>
        <v>2.8426</v>
      </c>
      <c r="AK22" s="13">
        <f t="shared" si="5"/>
        <v>4.6543747599999996</v>
      </c>
      <c r="AN22" s="13">
        <f t="shared" si="6"/>
        <v>14.495238095238095</v>
      </c>
      <c r="AO22" s="13">
        <f t="shared" si="7"/>
        <v>90.159546485260776</v>
      </c>
      <c r="AR22" s="7">
        <f t="shared" si="8"/>
        <v>5</v>
      </c>
    </row>
    <row r="23" spans="1:44" x14ac:dyDescent="0.2">
      <c r="A23" s="7">
        <f t="shared" si="15"/>
        <v>2011</v>
      </c>
      <c r="B23" s="7">
        <f t="shared" si="16"/>
        <v>9</v>
      </c>
      <c r="C23" s="7" t="str">
        <f t="shared" si="1"/>
        <v>2011-9</v>
      </c>
      <c r="D23" s="7">
        <f>COUNTIFS(Sheet1!G:G,Sheet3!A23,Sheet1!F:F,Sheet3!B23)</f>
        <v>7</v>
      </c>
      <c r="E23" s="7">
        <f t="shared" si="9"/>
        <v>5</v>
      </c>
      <c r="F23" s="7">
        <f t="shared" si="9"/>
        <v>4</v>
      </c>
      <c r="G23" s="7">
        <f t="shared" si="9"/>
        <v>1</v>
      </c>
      <c r="H23" s="7">
        <f t="shared" si="9"/>
        <v>2</v>
      </c>
      <c r="I23" s="7">
        <f t="shared" si="13"/>
        <v>0</v>
      </c>
      <c r="J23" s="7">
        <f t="shared" si="12"/>
        <v>0</v>
      </c>
      <c r="K23" s="7">
        <f t="shared" si="12"/>
        <v>5</v>
      </c>
      <c r="L23" s="7">
        <f t="shared" si="12"/>
        <v>0</v>
      </c>
      <c r="M23" s="7">
        <f t="shared" si="12"/>
        <v>3</v>
      </c>
      <c r="N23" s="7">
        <f t="shared" si="17"/>
        <v>6</v>
      </c>
      <c r="O23" s="7">
        <f t="shared" si="14"/>
        <v>6</v>
      </c>
      <c r="P23" s="7">
        <f t="shared" si="14"/>
        <v>5</v>
      </c>
      <c r="AD23" s="11">
        <f t="shared" si="2"/>
        <v>1.9459101490553132</v>
      </c>
      <c r="AJ23" s="11">
        <f t="shared" si="4"/>
        <v>3.1101999999999999</v>
      </c>
      <c r="AK23" s="13">
        <f t="shared" si="5"/>
        <v>15.130544040000002</v>
      </c>
      <c r="AN23" s="13">
        <f t="shared" si="6"/>
        <v>14.495238095238095</v>
      </c>
      <c r="AO23" s="13">
        <f t="shared" si="7"/>
        <v>56.178594104308388</v>
      </c>
      <c r="AR23" s="7">
        <f t="shared" si="8"/>
        <v>7</v>
      </c>
    </row>
    <row r="24" spans="1:44" x14ac:dyDescent="0.2">
      <c r="A24" s="7">
        <f t="shared" si="15"/>
        <v>2011</v>
      </c>
      <c r="B24" s="7">
        <f t="shared" si="16"/>
        <v>10</v>
      </c>
      <c r="C24" s="7" t="str">
        <f t="shared" si="1"/>
        <v>2011-10</v>
      </c>
      <c r="D24" s="7">
        <f>COUNTIFS(Sheet1!G:G,Sheet3!A24,Sheet1!F:F,Sheet3!B24)</f>
        <v>1</v>
      </c>
      <c r="E24" s="7">
        <f t="shared" si="9"/>
        <v>7</v>
      </c>
      <c r="F24" s="7">
        <f t="shared" si="9"/>
        <v>5</v>
      </c>
      <c r="G24" s="7">
        <f t="shared" si="9"/>
        <v>4</v>
      </c>
      <c r="H24" s="7">
        <f t="shared" si="9"/>
        <v>1</v>
      </c>
      <c r="I24" s="7">
        <f t="shared" si="13"/>
        <v>2</v>
      </c>
      <c r="J24" s="7">
        <f t="shared" si="12"/>
        <v>0</v>
      </c>
      <c r="K24" s="7">
        <f t="shared" si="12"/>
        <v>0</v>
      </c>
      <c r="L24" s="7">
        <f t="shared" si="12"/>
        <v>5</v>
      </c>
      <c r="M24" s="7">
        <f t="shared" si="12"/>
        <v>0</v>
      </c>
      <c r="N24" s="7">
        <f t="shared" si="17"/>
        <v>3</v>
      </c>
      <c r="O24" s="7">
        <f t="shared" si="14"/>
        <v>6</v>
      </c>
      <c r="P24" s="7">
        <f t="shared" si="14"/>
        <v>6</v>
      </c>
      <c r="AD24" s="11">
        <f t="shared" si="2"/>
        <v>0</v>
      </c>
      <c r="AJ24" s="11">
        <f t="shared" si="4"/>
        <v>3.3777999999999997</v>
      </c>
      <c r="AK24" s="13">
        <f t="shared" si="5"/>
        <v>5.6539328399999986</v>
      </c>
      <c r="AN24" s="13">
        <f t="shared" si="6"/>
        <v>14.495238095238095</v>
      </c>
      <c r="AO24" s="13">
        <f t="shared" si="7"/>
        <v>182.12145124716554</v>
      </c>
      <c r="AR24" s="7">
        <f t="shared" si="8"/>
        <v>1</v>
      </c>
    </row>
    <row r="25" spans="1:44" x14ac:dyDescent="0.2">
      <c r="A25" s="7">
        <f t="shared" si="15"/>
        <v>2011</v>
      </c>
      <c r="B25" s="7">
        <f t="shared" si="16"/>
        <v>11</v>
      </c>
      <c r="C25" s="7" t="str">
        <f t="shared" si="1"/>
        <v>2011-11</v>
      </c>
      <c r="D25" s="7">
        <f>COUNTIFS(Sheet1!G:G,Sheet3!A25,Sheet1!F:F,Sheet3!B25)</f>
        <v>4</v>
      </c>
      <c r="E25" s="7">
        <f t="shared" si="9"/>
        <v>1</v>
      </c>
      <c r="F25" s="7">
        <f t="shared" si="9"/>
        <v>7</v>
      </c>
      <c r="G25" s="7">
        <f t="shared" si="9"/>
        <v>5</v>
      </c>
      <c r="H25" s="7">
        <f t="shared" si="9"/>
        <v>4</v>
      </c>
      <c r="I25" s="7">
        <f t="shared" si="13"/>
        <v>1</v>
      </c>
      <c r="J25" s="7">
        <f t="shared" si="12"/>
        <v>2</v>
      </c>
      <c r="K25" s="7">
        <f t="shared" si="12"/>
        <v>0</v>
      </c>
      <c r="L25" s="7">
        <f t="shared" si="12"/>
        <v>0</v>
      </c>
      <c r="M25" s="7">
        <f t="shared" si="12"/>
        <v>5</v>
      </c>
      <c r="N25" s="7">
        <f t="shared" si="17"/>
        <v>0</v>
      </c>
      <c r="O25" s="7">
        <f t="shared" si="14"/>
        <v>3</v>
      </c>
      <c r="P25" s="7">
        <f t="shared" si="14"/>
        <v>6</v>
      </c>
      <c r="AD25" s="11">
        <f t="shared" si="2"/>
        <v>1.3862943611198906</v>
      </c>
      <c r="AJ25" s="11">
        <f t="shared" si="4"/>
        <v>3.6453999999999995</v>
      </c>
      <c r="AK25" s="13">
        <f t="shared" si="5"/>
        <v>0.12574116000000032</v>
      </c>
      <c r="AN25" s="13">
        <f t="shared" si="6"/>
        <v>14.495238095238095</v>
      </c>
      <c r="AO25" s="13">
        <f t="shared" si="7"/>
        <v>110.15002267573696</v>
      </c>
      <c r="AR25" s="7">
        <f t="shared" si="8"/>
        <v>4</v>
      </c>
    </row>
    <row r="26" spans="1:44" x14ac:dyDescent="0.2">
      <c r="A26" s="7">
        <f t="shared" si="15"/>
        <v>2011</v>
      </c>
      <c r="B26" s="7">
        <f t="shared" si="16"/>
        <v>12</v>
      </c>
      <c r="C26" s="7" t="str">
        <f t="shared" si="1"/>
        <v>2011-12</v>
      </c>
      <c r="D26" s="7">
        <f>COUNTIFS(Sheet1!G:G,Sheet3!A26,Sheet1!F:F,Sheet3!B26)</f>
        <v>2</v>
      </c>
      <c r="E26" s="7">
        <f t="shared" si="9"/>
        <v>4</v>
      </c>
      <c r="F26" s="7">
        <f t="shared" si="9"/>
        <v>1</v>
      </c>
      <c r="G26" s="7">
        <f t="shared" si="9"/>
        <v>7</v>
      </c>
      <c r="H26" s="7">
        <f t="shared" si="9"/>
        <v>5</v>
      </c>
      <c r="I26" s="7">
        <f t="shared" si="13"/>
        <v>4</v>
      </c>
      <c r="J26" s="7">
        <f t="shared" si="12"/>
        <v>1</v>
      </c>
      <c r="K26" s="7">
        <f t="shared" si="12"/>
        <v>2</v>
      </c>
      <c r="L26" s="7">
        <f t="shared" si="12"/>
        <v>0</v>
      </c>
      <c r="M26" s="7">
        <f t="shared" si="12"/>
        <v>0</v>
      </c>
      <c r="N26" s="7">
        <f t="shared" si="17"/>
        <v>5</v>
      </c>
      <c r="O26" s="7">
        <f t="shared" si="14"/>
        <v>0</v>
      </c>
      <c r="P26" s="7">
        <f t="shared" si="14"/>
        <v>3</v>
      </c>
      <c r="AD26" s="11">
        <f t="shared" si="2"/>
        <v>0.69314718055994529</v>
      </c>
      <c r="AJ26" s="11">
        <f t="shared" si="4"/>
        <v>3.9130000000000003</v>
      </c>
      <c r="AK26" s="13">
        <f t="shared" si="5"/>
        <v>3.6595690000000012</v>
      </c>
      <c r="AN26" s="13">
        <f t="shared" si="6"/>
        <v>14.495238095238095</v>
      </c>
      <c r="AO26" s="13">
        <f t="shared" si="7"/>
        <v>156.13097505668935</v>
      </c>
      <c r="AR26" s="7">
        <f t="shared" si="8"/>
        <v>2</v>
      </c>
    </row>
    <row r="27" spans="1:44" x14ac:dyDescent="0.2">
      <c r="A27" s="7">
        <f t="shared" si="15"/>
        <v>2012</v>
      </c>
      <c r="B27" s="7">
        <f t="shared" si="16"/>
        <v>1</v>
      </c>
      <c r="C27" s="7" t="str">
        <f t="shared" si="1"/>
        <v>2012-1</v>
      </c>
      <c r="D27" s="7">
        <f>COUNTIFS(Sheet1!G:G,Sheet3!A27,Sheet1!F:F,Sheet3!B27)</f>
        <v>3</v>
      </c>
      <c r="E27" s="7">
        <f t="shared" si="9"/>
        <v>2</v>
      </c>
      <c r="F27" s="7">
        <f t="shared" si="9"/>
        <v>4</v>
      </c>
      <c r="G27" s="7">
        <f t="shared" si="9"/>
        <v>1</v>
      </c>
      <c r="H27" s="7">
        <f t="shared" si="9"/>
        <v>7</v>
      </c>
      <c r="I27" s="7">
        <f t="shared" si="13"/>
        <v>5</v>
      </c>
      <c r="J27" s="7">
        <f t="shared" si="12"/>
        <v>4</v>
      </c>
      <c r="K27" s="7">
        <f t="shared" si="12"/>
        <v>1</v>
      </c>
      <c r="L27" s="7">
        <f t="shared" si="12"/>
        <v>2</v>
      </c>
      <c r="M27" s="7">
        <f t="shared" si="12"/>
        <v>0</v>
      </c>
      <c r="N27" s="7">
        <f t="shared" si="17"/>
        <v>0</v>
      </c>
      <c r="O27" s="7">
        <f t="shared" si="14"/>
        <v>5</v>
      </c>
      <c r="P27" s="7">
        <f t="shared" si="14"/>
        <v>0</v>
      </c>
      <c r="AD27" s="11">
        <f t="shared" si="2"/>
        <v>1.0986122886681098</v>
      </c>
      <c r="AJ27" s="11">
        <f t="shared" si="4"/>
        <v>4.1806000000000001</v>
      </c>
      <c r="AK27" s="13">
        <f t="shared" si="5"/>
        <v>1.3938163600000002</v>
      </c>
      <c r="AN27" s="13">
        <f t="shared" si="6"/>
        <v>14.495238095238095</v>
      </c>
      <c r="AO27" s="13">
        <f t="shared" si="7"/>
        <v>132.14049886621316</v>
      </c>
      <c r="AR27" s="7">
        <f t="shared" si="8"/>
        <v>3</v>
      </c>
    </row>
    <row r="28" spans="1:44" x14ac:dyDescent="0.2">
      <c r="A28" s="7">
        <f t="shared" si="15"/>
        <v>2012</v>
      </c>
      <c r="B28" s="7">
        <f t="shared" si="16"/>
        <v>2</v>
      </c>
      <c r="C28" s="7" t="str">
        <f t="shared" si="1"/>
        <v>2012-2</v>
      </c>
      <c r="D28" s="7">
        <f>COUNTIFS(Sheet1!G:G,Sheet3!A28,Sheet1!F:F,Sheet3!B28)</f>
        <v>2</v>
      </c>
      <c r="E28" s="7">
        <f t="shared" si="9"/>
        <v>3</v>
      </c>
      <c r="F28" s="7">
        <f t="shared" si="9"/>
        <v>2</v>
      </c>
      <c r="G28" s="7">
        <f t="shared" si="9"/>
        <v>4</v>
      </c>
      <c r="H28" s="7">
        <f t="shared" si="9"/>
        <v>1</v>
      </c>
      <c r="I28" s="7">
        <f t="shared" si="13"/>
        <v>7</v>
      </c>
      <c r="J28" s="7">
        <f t="shared" si="12"/>
        <v>5</v>
      </c>
      <c r="K28" s="7">
        <f t="shared" si="12"/>
        <v>4</v>
      </c>
      <c r="L28" s="7">
        <f t="shared" si="12"/>
        <v>1</v>
      </c>
      <c r="M28" s="7">
        <f t="shared" si="12"/>
        <v>2</v>
      </c>
      <c r="N28" s="7">
        <f t="shared" si="17"/>
        <v>0</v>
      </c>
      <c r="O28" s="7">
        <f t="shared" si="14"/>
        <v>0</v>
      </c>
      <c r="P28" s="7">
        <f t="shared" si="14"/>
        <v>5</v>
      </c>
      <c r="AD28" s="11">
        <f t="shared" si="2"/>
        <v>0.69314718055994529</v>
      </c>
      <c r="AJ28" s="11">
        <f t="shared" si="4"/>
        <v>4.4481999999999999</v>
      </c>
      <c r="AK28" s="13">
        <f t="shared" si="5"/>
        <v>5.9936832399999993</v>
      </c>
      <c r="AN28" s="13">
        <f t="shared" si="6"/>
        <v>14.495238095238095</v>
      </c>
      <c r="AO28" s="13">
        <f t="shared" si="7"/>
        <v>156.13097505668935</v>
      </c>
      <c r="AR28" s="7">
        <f t="shared" si="8"/>
        <v>2</v>
      </c>
    </row>
    <row r="29" spans="1:44" x14ac:dyDescent="0.2">
      <c r="A29" s="7">
        <f t="shared" si="15"/>
        <v>2012</v>
      </c>
      <c r="B29" s="7">
        <f t="shared" si="16"/>
        <v>3</v>
      </c>
      <c r="C29" s="7" t="str">
        <f t="shared" si="1"/>
        <v>2012-3</v>
      </c>
      <c r="D29" s="7">
        <f>COUNTIFS(Sheet1!G:G,Sheet3!A29,Sheet1!F:F,Sheet3!B29)</f>
        <v>7</v>
      </c>
      <c r="E29" s="7">
        <f t="shared" si="9"/>
        <v>2</v>
      </c>
      <c r="F29" s="7">
        <f t="shared" si="9"/>
        <v>3</v>
      </c>
      <c r="G29" s="7">
        <f t="shared" si="9"/>
        <v>2</v>
      </c>
      <c r="H29" s="7">
        <f t="shared" si="9"/>
        <v>4</v>
      </c>
      <c r="I29" s="7">
        <f t="shared" si="13"/>
        <v>1</v>
      </c>
      <c r="J29" s="7">
        <f t="shared" si="12"/>
        <v>7</v>
      </c>
      <c r="K29" s="7">
        <f t="shared" si="12"/>
        <v>5</v>
      </c>
      <c r="L29" s="7">
        <f t="shared" si="12"/>
        <v>4</v>
      </c>
      <c r="M29" s="7">
        <f t="shared" si="12"/>
        <v>1</v>
      </c>
      <c r="N29" s="7">
        <f t="shared" si="17"/>
        <v>2</v>
      </c>
      <c r="O29" s="7">
        <f t="shared" si="14"/>
        <v>0</v>
      </c>
      <c r="P29" s="7">
        <f t="shared" si="14"/>
        <v>0</v>
      </c>
      <c r="AD29" s="11">
        <f t="shared" si="2"/>
        <v>1.9459101490553132</v>
      </c>
      <c r="AJ29" s="11">
        <f t="shared" si="4"/>
        <v>4.7157999999999998</v>
      </c>
      <c r="AK29" s="13">
        <f t="shared" si="5"/>
        <v>5.2175696400000007</v>
      </c>
      <c r="AN29" s="13">
        <f t="shared" si="6"/>
        <v>14.495238095238095</v>
      </c>
      <c r="AO29" s="13">
        <f t="shared" si="7"/>
        <v>56.178594104308388</v>
      </c>
      <c r="AR29" s="7">
        <f t="shared" si="8"/>
        <v>7</v>
      </c>
    </row>
    <row r="30" spans="1:44" x14ac:dyDescent="0.2">
      <c r="A30" s="7">
        <f t="shared" si="15"/>
        <v>2012</v>
      </c>
      <c r="B30" s="7">
        <f t="shared" si="16"/>
        <v>4</v>
      </c>
      <c r="C30" s="7" t="str">
        <f t="shared" si="1"/>
        <v>2012-4</v>
      </c>
      <c r="D30" s="7">
        <f>COUNTIFS(Sheet1!G:G,Sheet3!A30,Sheet1!F:F,Sheet3!B30)</f>
        <v>5</v>
      </c>
      <c r="E30" s="7">
        <f t="shared" si="9"/>
        <v>7</v>
      </c>
      <c r="F30" s="7">
        <f t="shared" si="9"/>
        <v>2</v>
      </c>
      <c r="G30" s="7">
        <f t="shared" si="9"/>
        <v>3</v>
      </c>
      <c r="H30" s="7">
        <f t="shared" si="9"/>
        <v>2</v>
      </c>
      <c r="I30" s="7">
        <f t="shared" si="13"/>
        <v>4</v>
      </c>
      <c r="J30" s="7">
        <f t="shared" si="12"/>
        <v>1</v>
      </c>
      <c r="K30" s="7">
        <f t="shared" si="12"/>
        <v>7</v>
      </c>
      <c r="L30" s="7">
        <f t="shared" si="12"/>
        <v>5</v>
      </c>
      <c r="M30" s="7">
        <f t="shared" si="12"/>
        <v>4</v>
      </c>
      <c r="N30" s="7">
        <f t="shared" si="17"/>
        <v>1</v>
      </c>
      <c r="O30" s="7">
        <f t="shared" si="14"/>
        <v>2</v>
      </c>
      <c r="P30" s="7">
        <f t="shared" si="14"/>
        <v>0</v>
      </c>
      <c r="AD30" s="11">
        <f t="shared" si="2"/>
        <v>1.6094379124341003</v>
      </c>
      <c r="AJ30" s="11">
        <f t="shared" si="4"/>
        <v>4.9833999999999996</v>
      </c>
      <c r="AK30" s="13">
        <f t="shared" si="5"/>
        <v>2.7556000000001301E-4</v>
      </c>
      <c r="AN30" s="13">
        <f t="shared" si="6"/>
        <v>14.495238095238095</v>
      </c>
      <c r="AO30" s="13">
        <f t="shared" si="7"/>
        <v>90.159546485260776</v>
      </c>
      <c r="AR30" s="7">
        <f t="shared" si="8"/>
        <v>5</v>
      </c>
    </row>
    <row r="31" spans="1:44" x14ac:dyDescent="0.2">
      <c r="A31" s="7">
        <f t="shared" si="15"/>
        <v>2012</v>
      </c>
      <c r="B31" s="7">
        <f t="shared" si="16"/>
        <v>5</v>
      </c>
      <c r="C31" s="7" t="str">
        <f t="shared" si="1"/>
        <v>2012-5</v>
      </c>
      <c r="D31" s="7">
        <f>COUNTIFS(Sheet1!G:G,Sheet3!A31,Sheet1!F:F,Sheet3!B31)</f>
        <v>2</v>
      </c>
      <c r="E31" s="7">
        <f t="shared" si="9"/>
        <v>5</v>
      </c>
      <c r="F31" s="7">
        <f t="shared" si="9"/>
        <v>7</v>
      </c>
      <c r="G31" s="7">
        <f t="shared" si="9"/>
        <v>2</v>
      </c>
      <c r="H31" s="7">
        <f t="shared" si="9"/>
        <v>3</v>
      </c>
      <c r="I31" s="7">
        <f t="shared" si="13"/>
        <v>2</v>
      </c>
      <c r="J31" s="7">
        <f t="shared" si="12"/>
        <v>4</v>
      </c>
      <c r="K31" s="7">
        <f t="shared" si="12"/>
        <v>1</v>
      </c>
      <c r="L31" s="7">
        <f t="shared" si="12"/>
        <v>7</v>
      </c>
      <c r="M31" s="7">
        <f t="shared" si="12"/>
        <v>5</v>
      </c>
      <c r="N31" s="7">
        <f t="shared" si="17"/>
        <v>4</v>
      </c>
      <c r="O31" s="7">
        <f t="shared" si="14"/>
        <v>1</v>
      </c>
      <c r="P31" s="7">
        <f t="shared" si="14"/>
        <v>2</v>
      </c>
      <c r="AD31" s="11">
        <f t="shared" si="2"/>
        <v>0.69314718055994529</v>
      </c>
      <c r="AJ31" s="11">
        <f t="shared" si="4"/>
        <v>5.2510000000000003</v>
      </c>
      <c r="AK31" s="13">
        <f t="shared" si="5"/>
        <v>10.569001000000002</v>
      </c>
      <c r="AN31" s="13">
        <f t="shared" si="6"/>
        <v>14.495238095238095</v>
      </c>
      <c r="AO31" s="13">
        <f t="shared" si="7"/>
        <v>156.13097505668935</v>
      </c>
      <c r="AR31" s="7">
        <f t="shared" si="8"/>
        <v>2</v>
      </c>
    </row>
    <row r="32" spans="1:44" x14ac:dyDescent="0.2">
      <c r="A32" s="7">
        <f t="shared" si="15"/>
        <v>2012</v>
      </c>
      <c r="B32" s="7">
        <f t="shared" si="16"/>
        <v>6</v>
      </c>
      <c r="C32" s="7" t="str">
        <f t="shared" si="1"/>
        <v>2012-6</v>
      </c>
      <c r="D32" s="7">
        <f>COUNTIFS(Sheet1!G:G,Sheet3!A32,Sheet1!F:F,Sheet3!B32)</f>
        <v>0</v>
      </c>
      <c r="E32" s="7">
        <f t="shared" si="9"/>
        <v>2</v>
      </c>
      <c r="F32" s="7">
        <f t="shared" si="9"/>
        <v>5</v>
      </c>
      <c r="G32" s="7">
        <f t="shared" si="9"/>
        <v>7</v>
      </c>
      <c r="H32" s="7">
        <f t="shared" si="9"/>
        <v>2</v>
      </c>
      <c r="I32" s="7">
        <f t="shared" si="13"/>
        <v>3</v>
      </c>
      <c r="J32" s="7">
        <f t="shared" si="12"/>
        <v>2</v>
      </c>
      <c r="K32" s="7">
        <f t="shared" si="12"/>
        <v>4</v>
      </c>
      <c r="L32" s="7">
        <f t="shared" si="12"/>
        <v>1</v>
      </c>
      <c r="M32" s="7">
        <f t="shared" si="12"/>
        <v>7</v>
      </c>
      <c r="N32" s="7">
        <f t="shared" si="17"/>
        <v>5</v>
      </c>
      <c r="O32" s="7">
        <f t="shared" si="14"/>
        <v>4</v>
      </c>
      <c r="P32" s="7">
        <f t="shared" si="14"/>
        <v>1</v>
      </c>
      <c r="AD32" s="11" t="str">
        <f t="shared" si="2"/>
        <v/>
      </c>
      <c r="AJ32" s="11">
        <f t="shared" si="4"/>
        <v>5.5186000000000002</v>
      </c>
      <c r="AK32" s="13">
        <f t="shared" si="5"/>
        <v>30.454945960000003</v>
      </c>
      <c r="AN32" s="13">
        <f t="shared" si="6"/>
        <v>14.495238095238095</v>
      </c>
      <c r="AO32" s="13" t="str">
        <f t="shared" si="7"/>
        <v/>
      </c>
      <c r="AR32" s="7" t="str">
        <f t="shared" si="8"/>
        <v/>
      </c>
    </row>
    <row r="33" spans="1:44" x14ac:dyDescent="0.2">
      <c r="A33" s="7">
        <f t="shared" si="15"/>
        <v>2012</v>
      </c>
      <c r="B33" s="7">
        <f t="shared" si="16"/>
        <v>7</v>
      </c>
      <c r="C33" s="7" t="str">
        <f t="shared" si="1"/>
        <v>2012-7</v>
      </c>
      <c r="D33" s="7">
        <f>COUNTIFS(Sheet1!G:G,Sheet3!A33,Sheet1!F:F,Sheet3!B33)</f>
        <v>0</v>
      </c>
      <c r="E33" s="7">
        <f t="shared" si="9"/>
        <v>0</v>
      </c>
      <c r="F33" s="7">
        <f t="shared" si="9"/>
        <v>2</v>
      </c>
      <c r="G33" s="7">
        <f t="shared" si="9"/>
        <v>5</v>
      </c>
      <c r="H33" s="7">
        <f t="shared" si="9"/>
        <v>7</v>
      </c>
      <c r="I33" s="7">
        <f t="shared" si="13"/>
        <v>2</v>
      </c>
      <c r="J33" s="7">
        <f t="shared" si="12"/>
        <v>3</v>
      </c>
      <c r="K33" s="7">
        <f t="shared" si="12"/>
        <v>2</v>
      </c>
      <c r="L33" s="7">
        <f t="shared" si="12"/>
        <v>4</v>
      </c>
      <c r="M33" s="7">
        <f t="shared" si="12"/>
        <v>1</v>
      </c>
      <c r="N33" s="7">
        <f t="shared" si="17"/>
        <v>7</v>
      </c>
      <c r="O33" s="7">
        <f t="shared" si="14"/>
        <v>5</v>
      </c>
      <c r="P33" s="7">
        <f t="shared" si="14"/>
        <v>4</v>
      </c>
      <c r="AD33" s="11" t="str">
        <f t="shared" si="2"/>
        <v/>
      </c>
      <c r="AJ33" s="11">
        <f t="shared" si="4"/>
        <v>5.7862</v>
      </c>
      <c r="AK33" s="13">
        <f t="shared" si="5"/>
        <v>33.480110439999997</v>
      </c>
      <c r="AN33" s="13">
        <f t="shared" si="6"/>
        <v>14.495238095238095</v>
      </c>
      <c r="AO33" s="13" t="str">
        <f t="shared" si="7"/>
        <v/>
      </c>
      <c r="AR33" s="7" t="str">
        <f t="shared" si="8"/>
        <v/>
      </c>
    </row>
    <row r="34" spans="1:44" x14ac:dyDescent="0.2">
      <c r="A34" s="7">
        <f t="shared" si="15"/>
        <v>2012</v>
      </c>
      <c r="B34" s="7">
        <f t="shared" si="16"/>
        <v>8</v>
      </c>
      <c r="C34" s="7" t="str">
        <f t="shared" si="1"/>
        <v>2012-8</v>
      </c>
      <c r="D34" s="7">
        <f>COUNTIFS(Sheet1!G:G,Sheet3!A34,Sheet1!F:F,Sheet3!B34)</f>
        <v>0</v>
      </c>
      <c r="E34" s="7">
        <f t="shared" si="9"/>
        <v>0</v>
      </c>
      <c r="F34" s="7">
        <f t="shared" si="9"/>
        <v>0</v>
      </c>
      <c r="G34" s="7">
        <f t="shared" si="9"/>
        <v>2</v>
      </c>
      <c r="H34" s="7">
        <f t="shared" si="9"/>
        <v>5</v>
      </c>
      <c r="I34" s="7">
        <f t="shared" si="13"/>
        <v>7</v>
      </c>
      <c r="J34" s="7">
        <f t="shared" si="12"/>
        <v>2</v>
      </c>
      <c r="K34" s="7">
        <f t="shared" si="12"/>
        <v>3</v>
      </c>
      <c r="L34" s="7">
        <f t="shared" si="12"/>
        <v>2</v>
      </c>
      <c r="M34" s="7">
        <f t="shared" si="12"/>
        <v>4</v>
      </c>
      <c r="N34" s="7">
        <f t="shared" si="17"/>
        <v>1</v>
      </c>
      <c r="O34" s="7">
        <f t="shared" si="14"/>
        <v>7</v>
      </c>
      <c r="P34" s="7">
        <f t="shared" si="14"/>
        <v>5</v>
      </c>
      <c r="AD34" s="11" t="str">
        <f t="shared" si="2"/>
        <v/>
      </c>
      <c r="AJ34" s="11">
        <f t="shared" si="4"/>
        <v>6.0537999999999998</v>
      </c>
      <c r="AK34" s="13">
        <f t="shared" si="5"/>
        <v>36.64849444</v>
      </c>
      <c r="AN34" s="13">
        <f t="shared" si="6"/>
        <v>14.495238095238095</v>
      </c>
      <c r="AO34" s="13" t="str">
        <f t="shared" si="7"/>
        <v/>
      </c>
      <c r="AR34" s="7" t="str">
        <f t="shared" si="8"/>
        <v/>
      </c>
    </row>
    <row r="35" spans="1:44" x14ac:dyDescent="0.2">
      <c r="A35" s="7">
        <f t="shared" si="15"/>
        <v>2012</v>
      </c>
      <c r="B35" s="7">
        <f t="shared" si="16"/>
        <v>9</v>
      </c>
      <c r="C35" s="7" t="str">
        <f t="shared" si="1"/>
        <v>2012-9</v>
      </c>
      <c r="D35" s="7">
        <f>COUNTIFS(Sheet1!G:G,Sheet3!A35,Sheet1!F:F,Sheet3!B35)</f>
        <v>1</v>
      </c>
      <c r="E35" s="7">
        <f t="shared" si="9"/>
        <v>0</v>
      </c>
      <c r="F35" s="7">
        <f t="shared" si="9"/>
        <v>0</v>
      </c>
      <c r="G35" s="7">
        <f t="shared" si="9"/>
        <v>0</v>
      </c>
      <c r="H35" s="7">
        <f t="shared" si="9"/>
        <v>2</v>
      </c>
      <c r="I35" s="7">
        <f t="shared" si="13"/>
        <v>5</v>
      </c>
      <c r="J35" s="7">
        <f t="shared" si="12"/>
        <v>7</v>
      </c>
      <c r="K35" s="7">
        <f t="shared" si="12"/>
        <v>2</v>
      </c>
      <c r="L35" s="7">
        <f t="shared" si="12"/>
        <v>3</v>
      </c>
      <c r="M35" s="7">
        <f t="shared" si="12"/>
        <v>2</v>
      </c>
      <c r="N35" s="7">
        <f t="shared" si="17"/>
        <v>4</v>
      </c>
      <c r="O35" s="7">
        <f t="shared" si="14"/>
        <v>1</v>
      </c>
      <c r="P35" s="7">
        <f t="shared" si="14"/>
        <v>7</v>
      </c>
      <c r="AD35" s="11">
        <f t="shared" si="2"/>
        <v>0</v>
      </c>
      <c r="AJ35" s="11">
        <f t="shared" si="4"/>
        <v>6.3213999999999997</v>
      </c>
      <c r="AK35" s="13">
        <f t="shared" si="5"/>
        <v>28.317297959999998</v>
      </c>
      <c r="AN35" s="13">
        <f t="shared" si="6"/>
        <v>14.495238095238095</v>
      </c>
      <c r="AO35" s="13">
        <f t="shared" si="7"/>
        <v>182.12145124716554</v>
      </c>
      <c r="AR35" s="7">
        <f t="shared" si="8"/>
        <v>1</v>
      </c>
    </row>
    <row r="36" spans="1:44" x14ac:dyDescent="0.2">
      <c r="A36" s="7">
        <f t="shared" si="15"/>
        <v>2012</v>
      </c>
      <c r="B36" s="7">
        <f t="shared" si="16"/>
        <v>10</v>
      </c>
      <c r="C36" s="7" t="str">
        <f t="shared" si="1"/>
        <v>2012-10</v>
      </c>
      <c r="D36" s="7">
        <f>COUNTIFS(Sheet1!G:G,Sheet3!A36,Sheet1!F:F,Sheet3!B36)</f>
        <v>1</v>
      </c>
      <c r="E36" s="7">
        <f t="shared" si="9"/>
        <v>1</v>
      </c>
      <c r="F36" s="7">
        <f t="shared" si="9"/>
        <v>0</v>
      </c>
      <c r="G36" s="7">
        <f t="shared" si="9"/>
        <v>0</v>
      </c>
      <c r="H36" s="7">
        <f t="shared" si="9"/>
        <v>0</v>
      </c>
      <c r="I36" s="7">
        <f t="shared" si="13"/>
        <v>2</v>
      </c>
      <c r="J36" s="7">
        <f t="shared" si="12"/>
        <v>5</v>
      </c>
      <c r="K36" s="7">
        <f t="shared" si="12"/>
        <v>7</v>
      </c>
      <c r="L36" s="7">
        <f t="shared" si="12"/>
        <v>2</v>
      </c>
      <c r="M36" s="7">
        <f t="shared" si="12"/>
        <v>3</v>
      </c>
      <c r="N36" s="7">
        <f t="shared" si="17"/>
        <v>2</v>
      </c>
      <c r="O36" s="7">
        <f t="shared" si="14"/>
        <v>4</v>
      </c>
      <c r="P36" s="7">
        <f t="shared" si="14"/>
        <v>1</v>
      </c>
      <c r="AD36" s="11">
        <f t="shared" si="2"/>
        <v>0</v>
      </c>
      <c r="AJ36" s="11">
        <f t="shared" si="4"/>
        <v>6.5889999999999995</v>
      </c>
      <c r="AK36" s="13">
        <f t="shared" si="5"/>
        <v>31.236920999999995</v>
      </c>
      <c r="AN36" s="13">
        <f t="shared" si="6"/>
        <v>14.495238095238095</v>
      </c>
      <c r="AO36" s="13">
        <f t="shared" si="7"/>
        <v>182.12145124716554</v>
      </c>
      <c r="AR36" s="7">
        <f t="shared" si="8"/>
        <v>1</v>
      </c>
    </row>
    <row r="37" spans="1:44" x14ac:dyDescent="0.2">
      <c r="A37" s="7">
        <f t="shared" si="15"/>
        <v>2012</v>
      </c>
      <c r="B37" s="7">
        <f t="shared" si="16"/>
        <v>11</v>
      </c>
      <c r="C37" s="7" t="str">
        <f t="shared" si="1"/>
        <v>2012-11</v>
      </c>
      <c r="D37" s="7">
        <f>COUNTIFS(Sheet1!G:G,Sheet3!A37,Sheet1!F:F,Sheet3!B37)</f>
        <v>1</v>
      </c>
      <c r="E37" s="7">
        <f t="shared" si="9"/>
        <v>1</v>
      </c>
      <c r="F37" s="7">
        <f t="shared" si="9"/>
        <v>1</v>
      </c>
      <c r="G37" s="7">
        <f t="shared" si="9"/>
        <v>0</v>
      </c>
      <c r="H37" s="7">
        <f t="shared" si="9"/>
        <v>0</v>
      </c>
      <c r="I37" s="7">
        <f t="shared" si="13"/>
        <v>0</v>
      </c>
      <c r="J37" s="7">
        <f t="shared" si="12"/>
        <v>2</v>
      </c>
      <c r="K37" s="7">
        <f t="shared" si="12"/>
        <v>5</v>
      </c>
      <c r="L37" s="7">
        <f t="shared" si="12"/>
        <v>7</v>
      </c>
      <c r="M37" s="7">
        <f t="shared" si="12"/>
        <v>2</v>
      </c>
      <c r="N37" s="7">
        <f t="shared" si="17"/>
        <v>3</v>
      </c>
      <c r="O37" s="7">
        <f t="shared" si="14"/>
        <v>2</v>
      </c>
      <c r="P37" s="7">
        <f t="shared" si="14"/>
        <v>4</v>
      </c>
      <c r="AD37" s="11">
        <f t="shared" si="2"/>
        <v>0</v>
      </c>
      <c r="AJ37" s="11">
        <f t="shared" si="4"/>
        <v>6.8565999999999994</v>
      </c>
      <c r="AK37" s="13">
        <f t="shared" si="5"/>
        <v>34.299763559999995</v>
      </c>
      <c r="AN37" s="13">
        <f t="shared" si="6"/>
        <v>14.495238095238095</v>
      </c>
      <c r="AO37" s="13">
        <f t="shared" si="7"/>
        <v>182.12145124716554</v>
      </c>
      <c r="AR37" s="7">
        <f t="shared" si="8"/>
        <v>1</v>
      </c>
    </row>
    <row r="38" spans="1:44" x14ac:dyDescent="0.2">
      <c r="A38" s="7">
        <f t="shared" si="15"/>
        <v>2012</v>
      </c>
      <c r="B38" s="7">
        <f t="shared" si="16"/>
        <v>12</v>
      </c>
      <c r="C38" s="7" t="str">
        <f t="shared" si="1"/>
        <v>2012-12</v>
      </c>
      <c r="D38" s="7">
        <f>COUNTIFS(Sheet1!G:G,Sheet3!A38,Sheet1!F:F,Sheet3!B38)</f>
        <v>1</v>
      </c>
      <c r="E38" s="7">
        <f t="shared" si="9"/>
        <v>1</v>
      </c>
      <c r="F38" s="7">
        <f t="shared" si="9"/>
        <v>1</v>
      </c>
      <c r="G38" s="7">
        <f t="shared" si="9"/>
        <v>1</v>
      </c>
      <c r="H38" s="7">
        <f t="shared" si="9"/>
        <v>0</v>
      </c>
      <c r="I38" s="7">
        <f t="shared" si="13"/>
        <v>0</v>
      </c>
      <c r="J38" s="7">
        <f t="shared" si="12"/>
        <v>0</v>
      </c>
      <c r="K38" s="7">
        <f t="shared" si="12"/>
        <v>2</v>
      </c>
      <c r="L38" s="7">
        <f t="shared" si="12"/>
        <v>5</v>
      </c>
      <c r="M38" s="7">
        <f t="shared" si="12"/>
        <v>7</v>
      </c>
      <c r="N38" s="7">
        <f t="shared" si="17"/>
        <v>2</v>
      </c>
      <c r="O38" s="7">
        <f t="shared" si="14"/>
        <v>3</v>
      </c>
      <c r="P38" s="7">
        <f t="shared" si="14"/>
        <v>2</v>
      </c>
      <c r="AD38" s="11">
        <f t="shared" si="2"/>
        <v>0</v>
      </c>
      <c r="AJ38" s="11">
        <f t="shared" si="4"/>
        <v>7.1241999999999992</v>
      </c>
      <c r="AK38" s="13">
        <f t="shared" si="5"/>
        <v>37.505825639999991</v>
      </c>
      <c r="AN38" s="13">
        <f t="shared" si="6"/>
        <v>14.495238095238095</v>
      </c>
      <c r="AO38" s="13">
        <f t="shared" si="7"/>
        <v>182.12145124716554</v>
      </c>
      <c r="AR38" s="7">
        <f t="shared" si="8"/>
        <v>1</v>
      </c>
    </row>
    <row r="39" spans="1:44" x14ac:dyDescent="0.2">
      <c r="A39" s="7">
        <f t="shared" si="15"/>
        <v>2013</v>
      </c>
      <c r="B39" s="7">
        <f t="shared" si="16"/>
        <v>1</v>
      </c>
      <c r="C39" s="7" t="str">
        <f t="shared" si="1"/>
        <v>2013-1</v>
      </c>
      <c r="D39" s="7">
        <f>COUNTIFS(Sheet1!G:G,Sheet3!A39,Sheet1!F:F,Sheet3!B39)</f>
        <v>1</v>
      </c>
      <c r="E39" s="7">
        <f t="shared" si="9"/>
        <v>1</v>
      </c>
      <c r="F39" s="7">
        <f t="shared" si="9"/>
        <v>1</v>
      </c>
      <c r="G39" s="7">
        <f t="shared" si="9"/>
        <v>1</v>
      </c>
      <c r="H39" s="7">
        <f t="shared" si="9"/>
        <v>1</v>
      </c>
      <c r="I39" s="7">
        <f t="shared" si="13"/>
        <v>0</v>
      </c>
      <c r="J39" s="7">
        <f t="shared" si="12"/>
        <v>0</v>
      </c>
      <c r="K39" s="7">
        <f t="shared" si="12"/>
        <v>0</v>
      </c>
      <c r="L39" s="7">
        <f t="shared" si="12"/>
        <v>2</v>
      </c>
      <c r="M39" s="7">
        <f t="shared" si="12"/>
        <v>5</v>
      </c>
      <c r="N39" s="7">
        <f t="shared" si="17"/>
        <v>7</v>
      </c>
      <c r="O39" s="7">
        <f t="shared" si="14"/>
        <v>2</v>
      </c>
      <c r="P39" s="7">
        <f t="shared" si="14"/>
        <v>3</v>
      </c>
      <c r="AD39" s="11">
        <f t="shared" si="2"/>
        <v>0</v>
      </c>
      <c r="AJ39" s="11">
        <f t="shared" si="4"/>
        <v>7.3918000000000008</v>
      </c>
      <c r="AK39" s="13">
        <f t="shared" si="5"/>
        <v>40.855107240000009</v>
      </c>
      <c r="AN39" s="13">
        <f t="shared" si="6"/>
        <v>14.495238095238095</v>
      </c>
      <c r="AO39" s="13">
        <f t="shared" si="7"/>
        <v>182.12145124716554</v>
      </c>
      <c r="AR39" s="7">
        <f t="shared" si="8"/>
        <v>1</v>
      </c>
    </row>
    <row r="40" spans="1:44" x14ac:dyDescent="0.2">
      <c r="A40" s="7">
        <f t="shared" si="15"/>
        <v>2013</v>
      </c>
      <c r="B40" s="7">
        <f t="shared" si="16"/>
        <v>2</v>
      </c>
      <c r="C40" s="7" t="str">
        <f t="shared" si="1"/>
        <v>2013-2</v>
      </c>
      <c r="D40" s="7">
        <f>COUNTIFS(Sheet1!G:G,Sheet3!A40,Sheet1!F:F,Sheet3!B40)</f>
        <v>2</v>
      </c>
      <c r="E40" s="7">
        <f t="shared" si="9"/>
        <v>1</v>
      </c>
      <c r="F40" s="7">
        <f t="shared" si="9"/>
        <v>1</v>
      </c>
      <c r="G40" s="7">
        <f t="shared" si="9"/>
        <v>1</v>
      </c>
      <c r="H40" s="7">
        <f t="shared" si="9"/>
        <v>1</v>
      </c>
      <c r="I40" s="7">
        <f t="shared" si="13"/>
        <v>1</v>
      </c>
      <c r="J40" s="7">
        <f t="shared" si="12"/>
        <v>0</v>
      </c>
      <c r="K40" s="7">
        <f t="shared" si="12"/>
        <v>0</v>
      </c>
      <c r="L40" s="7">
        <f t="shared" si="12"/>
        <v>0</v>
      </c>
      <c r="M40" s="7">
        <f t="shared" si="12"/>
        <v>2</v>
      </c>
      <c r="N40" s="7">
        <f t="shared" si="17"/>
        <v>5</v>
      </c>
      <c r="O40" s="7">
        <f t="shared" si="14"/>
        <v>7</v>
      </c>
      <c r="P40" s="7">
        <f t="shared" si="14"/>
        <v>2</v>
      </c>
      <c r="AD40" s="11">
        <f t="shared" si="2"/>
        <v>0.69314718055994529</v>
      </c>
      <c r="AJ40" s="11">
        <f t="shared" si="4"/>
        <v>7.6594000000000007</v>
      </c>
      <c r="AK40" s="13">
        <f t="shared" si="5"/>
        <v>32.028808360000006</v>
      </c>
      <c r="AN40" s="13">
        <f t="shared" si="6"/>
        <v>14.495238095238095</v>
      </c>
      <c r="AO40" s="13">
        <f t="shared" si="7"/>
        <v>156.13097505668935</v>
      </c>
      <c r="AR40" s="7">
        <f t="shared" si="8"/>
        <v>2</v>
      </c>
    </row>
    <row r="41" spans="1:44" x14ac:dyDescent="0.2">
      <c r="A41" s="7">
        <f t="shared" si="15"/>
        <v>2013</v>
      </c>
      <c r="B41" s="7">
        <f t="shared" si="16"/>
        <v>3</v>
      </c>
      <c r="C41" s="7" t="str">
        <f t="shared" si="1"/>
        <v>2013-3</v>
      </c>
      <c r="D41" s="7">
        <f>COUNTIFS(Sheet1!G:G,Sheet3!A41,Sheet1!F:F,Sheet3!B41)</f>
        <v>3</v>
      </c>
      <c r="E41" s="7">
        <f t="shared" si="9"/>
        <v>2</v>
      </c>
      <c r="F41" s="7">
        <f t="shared" si="9"/>
        <v>1</v>
      </c>
      <c r="G41" s="7">
        <f t="shared" si="9"/>
        <v>1</v>
      </c>
      <c r="H41" s="7">
        <f t="shared" si="9"/>
        <v>1</v>
      </c>
      <c r="I41" s="7">
        <f t="shared" si="13"/>
        <v>1</v>
      </c>
      <c r="J41" s="7">
        <f t="shared" si="12"/>
        <v>1</v>
      </c>
      <c r="K41" s="7">
        <f t="shared" si="12"/>
        <v>0</v>
      </c>
      <c r="L41" s="7">
        <f t="shared" si="12"/>
        <v>0</v>
      </c>
      <c r="M41" s="7">
        <f t="shared" si="12"/>
        <v>0</v>
      </c>
      <c r="N41" s="7">
        <f t="shared" si="17"/>
        <v>2</v>
      </c>
      <c r="O41" s="7">
        <f t="shared" si="14"/>
        <v>5</v>
      </c>
      <c r="P41" s="7">
        <f t="shared" si="14"/>
        <v>7</v>
      </c>
      <c r="AD41" s="11">
        <f t="shared" si="2"/>
        <v>1.0986122886681098</v>
      </c>
      <c r="AJ41" s="11">
        <f t="shared" si="4"/>
        <v>7.9270000000000005</v>
      </c>
      <c r="AK41" s="13">
        <f t="shared" si="5"/>
        <v>24.275329000000006</v>
      </c>
      <c r="AN41" s="13">
        <f t="shared" si="6"/>
        <v>14.495238095238095</v>
      </c>
      <c r="AO41" s="13">
        <f t="shared" si="7"/>
        <v>132.14049886621316</v>
      </c>
      <c r="AR41" s="7">
        <f t="shared" si="8"/>
        <v>3</v>
      </c>
    </row>
    <row r="42" spans="1:44" x14ac:dyDescent="0.2">
      <c r="A42" s="7">
        <f t="shared" si="15"/>
        <v>2013</v>
      </c>
      <c r="B42" s="7">
        <f t="shared" si="16"/>
        <v>4</v>
      </c>
      <c r="C42" s="7" t="str">
        <f t="shared" si="1"/>
        <v>2013-4</v>
      </c>
      <c r="D42" s="7">
        <f>COUNTIFS(Sheet1!G:G,Sheet3!A42,Sheet1!F:F,Sheet3!B42)</f>
        <v>7</v>
      </c>
      <c r="E42" s="7">
        <f t="shared" si="9"/>
        <v>3</v>
      </c>
      <c r="F42" s="7">
        <f t="shared" si="9"/>
        <v>2</v>
      </c>
      <c r="G42" s="7">
        <f t="shared" si="9"/>
        <v>1</v>
      </c>
      <c r="H42" s="7">
        <f t="shared" si="9"/>
        <v>1</v>
      </c>
      <c r="I42" s="7">
        <f t="shared" si="13"/>
        <v>1</v>
      </c>
      <c r="J42" s="7">
        <f t="shared" si="12"/>
        <v>1</v>
      </c>
      <c r="K42" s="7">
        <f t="shared" si="12"/>
        <v>1</v>
      </c>
      <c r="L42" s="7">
        <f t="shared" si="12"/>
        <v>0</v>
      </c>
      <c r="M42" s="7">
        <f t="shared" si="12"/>
        <v>0</v>
      </c>
      <c r="N42" s="7">
        <f t="shared" si="17"/>
        <v>0</v>
      </c>
      <c r="O42" s="7">
        <f t="shared" si="14"/>
        <v>2</v>
      </c>
      <c r="P42" s="7">
        <f t="shared" si="14"/>
        <v>5</v>
      </c>
      <c r="AD42" s="11">
        <f t="shared" si="2"/>
        <v>1.9459101490553132</v>
      </c>
      <c r="AJ42" s="11">
        <f t="shared" si="4"/>
        <v>8.1946000000000012</v>
      </c>
      <c r="AK42" s="13">
        <f t="shared" si="5"/>
        <v>1.4270691600000029</v>
      </c>
      <c r="AN42" s="13">
        <f t="shared" si="6"/>
        <v>14.495238095238095</v>
      </c>
      <c r="AO42" s="13">
        <f t="shared" si="7"/>
        <v>56.178594104308388</v>
      </c>
      <c r="AR42" s="7">
        <f t="shared" si="8"/>
        <v>7</v>
      </c>
    </row>
    <row r="43" spans="1:44" x14ac:dyDescent="0.2">
      <c r="A43" s="7">
        <f t="shared" si="15"/>
        <v>2013</v>
      </c>
      <c r="B43" s="7">
        <f t="shared" si="16"/>
        <v>5</v>
      </c>
      <c r="C43" s="7" t="str">
        <f t="shared" si="1"/>
        <v>2013-5</v>
      </c>
      <c r="D43" s="7">
        <f>COUNTIFS(Sheet1!G:G,Sheet3!A43,Sheet1!F:F,Sheet3!B43)</f>
        <v>2</v>
      </c>
      <c r="E43" s="7">
        <f t="shared" si="9"/>
        <v>7</v>
      </c>
      <c r="F43" s="7">
        <f t="shared" si="9"/>
        <v>3</v>
      </c>
      <c r="G43" s="7">
        <f t="shared" si="9"/>
        <v>2</v>
      </c>
      <c r="H43" s="7">
        <f t="shared" si="9"/>
        <v>1</v>
      </c>
      <c r="I43" s="7">
        <f t="shared" si="13"/>
        <v>1</v>
      </c>
      <c r="J43" s="7">
        <f t="shared" si="12"/>
        <v>1</v>
      </c>
      <c r="K43" s="7">
        <f t="shared" si="12"/>
        <v>1</v>
      </c>
      <c r="L43" s="7">
        <f t="shared" si="12"/>
        <v>1</v>
      </c>
      <c r="M43" s="7">
        <f t="shared" si="12"/>
        <v>0</v>
      </c>
      <c r="N43" s="7">
        <f t="shared" si="17"/>
        <v>0</v>
      </c>
      <c r="O43" s="7">
        <f t="shared" si="14"/>
        <v>0</v>
      </c>
      <c r="P43" s="7">
        <f t="shared" si="14"/>
        <v>2</v>
      </c>
      <c r="AD43" s="11">
        <f t="shared" si="2"/>
        <v>0.69314718055994529</v>
      </c>
      <c r="AJ43" s="11">
        <f t="shared" si="4"/>
        <v>8.4621999999999993</v>
      </c>
      <c r="AK43" s="13">
        <f t="shared" si="5"/>
        <v>41.76002883999999</v>
      </c>
      <c r="AN43" s="13">
        <f t="shared" si="6"/>
        <v>14.495238095238095</v>
      </c>
      <c r="AO43" s="13">
        <f t="shared" si="7"/>
        <v>156.13097505668935</v>
      </c>
      <c r="AR43" s="7">
        <f t="shared" si="8"/>
        <v>2</v>
      </c>
    </row>
    <row r="44" spans="1:44" x14ac:dyDescent="0.2">
      <c r="A44" s="7">
        <f t="shared" si="15"/>
        <v>2013</v>
      </c>
      <c r="B44" s="7">
        <f t="shared" si="16"/>
        <v>6</v>
      </c>
      <c r="C44" s="7" t="str">
        <f t="shared" si="1"/>
        <v>2013-6</v>
      </c>
      <c r="D44" s="7">
        <f>COUNTIFS(Sheet1!G:G,Sheet3!A44,Sheet1!F:F,Sheet3!B44)</f>
        <v>1</v>
      </c>
      <c r="E44" s="7">
        <f t="shared" si="9"/>
        <v>2</v>
      </c>
      <c r="F44" s="7">
        <f t="shared" si="9"/>
        <v>7</v>
      </c>
      <c r="G44" s="7">
        <f t="shared" si="9"/>
        <v>3</v>
      </c>
      <c r="H44" s="7">
        <f t="shared" si="9"/>
        <v>2</v>
      </c>
      <c r="I44" s="7">
        <f t="shared" si="13"/>
        <v>1</v>
      </c>
      <c r="J44" s="7">
        <f t="shared" si="12"/>
        <v>1</v>
      </c>
      <c r="K44" s="7">
        <f t="shared" si="12"/>
        <v>1</v>
      </c>
      <c r="L44" s="7">
        <f t="shared" si="12"/>
        <v>1</v>
      </c>
      <c r="M44" s="7">
        <f t="shared" si="12"/>
        <v>1</v>
      </c>
      <c r="N44" s="7">
        <f t="shared" si="17"/>
        <v>0</v>
      </c>
      <c r="O44" s="7">
        <f t="shared" si="14"/>
        <v>0</v>
      </c>
      <c r="P44" s="7">
        <f t="shared" si="14"/>
        <v>0</v>
      </c>
      <c r="AD44" s="11">
        <f t="shared" si="2"/>
        <v>0</v>
      </c>
      <c r="AJ44" s="11">
        <f t="shared" si="4"/>
        <v>8.7298000000000009</v>
      </c>
      <c r="AK44" s="13">
        <f t="shared" si="5"/>
        <v>59.749808040000012</v>
      </c>
      <c r="AN44" s="13">
        <f t="shared" si="6"/>
        <v>14.495238095238095</v>
      </c>
      <c r="AO44" s="13">
        <f t="shared" si="7"/>
        <v>182.12145124716554</v>
      </c>
      <c r="AR44" s="7">
        <f t="shared" si="8"/>
        <v>1</v>
      </c>
    </row>
    <row r="45" spans="1:44" x14ac:dyDescent="0.2">
      <c r="A45" s="7">
        <f t="shared" si="15"/>
        <v>2013</v>
      </c>
      <c r="B45" s="7">
        <f t="shared" si="16"/>
        <v>7</v>
      </c>
      <c r="C45" s="7" t="str">
        <f t="shared" si="1"/>
        <v>2013-7</v>
      </c>
      <c r="D45" s="7">
        <f>COUNTIFS(Sheet1!G:G,Sheet3!A45,Sheet1!F:F,Sheet3!B45)</f>
        <v>0</v>
      </c>
      <c r="E45" s="7">
        <f t="shared" si="9"/>
        <v>1</v>
      </c>
      <c r="F45" s="7">
        <f t="shared" si="9"/>
        <v>2</v>
      </c>
      <c r="G45" s="7">
        <f t="shared" si="9"/>
        <v>7</v>
      </c>
      <c r="H45" s="7">
        <f t="shared" si="9"/>
        <v>3</v>
      </c>
      <c r="I45" s="7">
        <f t="shared" si="13"/>
        <v>2</v>
      </c>
      <c r="J45" s="7">
        <f t="shared" si="12"/>
        <v>1</v>
      </c>
      <c r="K45" s="7">
        <f t="shared" si="12"/>
        <v>1</v>
      </c>
      <c r="L45" s="7">
        <f t="shared" si="12"/>
        <v>1</v>
      </c>
      <c r="M45" s="7">
        <f t="shared" si="12"/>
        <v>1</v>
      </c>
      <c r="N45" s="7">
        <f t="shared" si="17"/>
        <v>1</v>
      </c>
      <c r="O45" s="7">
        <f t="shared" si="14"/>
        <v>0</v>
      </c>
      <c r="P45" s="7">
        <f t="shared" si="14"/>
        <v>0</v>
      </c>
      <c r="AD45" s="11" t="str">
        <f t="shared" si="2"/>
        <v/>
      </c>
      <c r="AJ45" s="11">
        <f t="shared" si="4"/>
        <v>8.997399999999999</v>
      </c>
      <c r="AK45" s="13">
        <f t="shared" si="5"/>
        <v>80.953206759999986</v>
      </c>
      <c r="AN45" s="13">
        <f t="shared" si="6"/>
        <v>14.495238095238095</v>
      </c>
      <c r="AO45" s="13" t="str">
        <f t="shared" si="7"/>
        <v/>
      </c>
      <c r="AR45" s="7" t="str">
        <f t="shared" si="8"/>
        <v/>
      </c>
    </row>
    <row r="46" spans="1:44" x14ac:dyDescent="0.2">
      <c r="A46" s="7">
        <f t="shared" si="15"/>
        <v>2013</v>
      </c>
      <c r="B46" s="7">
        <f t="shared" si="16"/>
        <v>8</v>
      </c>
      <c r="C46" s="7" t="str">
        <f t="shared" si="1"/>
        <v>2013-8</v>
      </c>
      <c r="D46" s="7">
        <f>COUNTIFS(Sheet1!G:G,Sheet3!A46,Sheet1!F:F,Sheet3!B46)</f>
        <v>0</v>
      </c>
      <c r="E46" s="7">
        <f t="shared" si="9"/>
        <v>0</v>
      </c>
      <c r="F46" s="7">
        <f t="shared" si="9"/>
        <v>1</v>
      </c>
      <c r="G46" s="7">
        <f t="shared" si="9"/>
        <v>2</v>
      </c>
      <c r="H46" s="7">
        <f t="shared" si="9"/>
        <v>7</v>
      </c>
      <c r="I46" s="7">
        <f t="shared" si="13"/>
        <v>3</v>
      </c>
      <c r="J46" s="7">
        <f t="shared" si="12"/>
        <v>2</v>
      </c>
      <c r="K46" s="7">
        <f t="shared" si="12"/>
        <v>1</v>
      </c>
      <c r="L46" s="7">
        <f t="shared" si="12"/>
        <v>1</v>
      </c>
      <c r="M46" s="7">
        <f t="shared" si="12"/>
        <v>1</v>
      </c>
      <c r="N46" s="7">
        <f t="shared" si="17"/>
        <v>1</v>
      </c>
      <c r="O46" s="7">
        <f t="shared" si="14"/>
        <v>1</v>
      </c>
      <c r="P46" s="7">
        <f t="shared" si="14"/>
        <v>0</v>
      </c>
      <c r="AD46" s="11" t="str">
        <f t="shared" si="2"/>
        <v/>
      </c>
      <c r="AJ46" s="11">
        <f t="shared" si="4"/>
        <v>9.2650000000000006</v>
      </c>
      <c r="AK46" s="13">
        <f t="shared" si="5"/>
        <v>85.840225000000004</v>
      </c>
      <c r="AN46" s="13">
        <f t="shared" si="6"/>
        <v>14.495238095238095</v>
      </c>
      <c r="AO46" s="13" t="str">
        <f t="shared" si="7"/>
        <v/>
      </c>
      <c r="AR46" s="7" t="str">
        <f t="shared" si="8"/>
        <v/>
      </c>
    </row>
    <row r="47" spans="1:44" x14ac:dyDescent="0.2">
      <c r="A47" s="7">
        <f t="shared" si="15"/>
        <v>2013</v>
      </c>
      <c r="B47" s="7">
        <f t="shared" si="16"/>
        <v>9</v>
      </c>
      <c r="C47" s="7" t="str">
        <f t="shared" si="1"/>
        <v>2013-9</v>
      </c>
      <c r="D47" s="7">
        <f>COUNTIFS(Sheet1!G:G,Sheet3!A47,Sheet1!F:F,Sheet3!B47)</f>
        <v>7</v>
      </c>
      <c r="E47" s="7">
        <f t="shared" si="9"/>
        <v>0</v>
      </c>
      <c r="F47" s="7">
        <f t="shared" si="9"/>
        <v>0</v>
      </c>
      <c r="G47" s="7">
        <f t="shared" si="9"/>
        <v>1</v>
      </c>
      <c r="H47" s="7">
        <f t="shared" si="9"/>
        <v>2</v>
      </c>
      <c r="I47" s="7">
        <f t="shared" si="13"/>
        <v>7</v>
      </c>
      <c r="J47" s="7">
        <f t="shared" si="12"/>
        <v>3</v>
      </c>
      <c r="K47" s="7">
        <f t="shared" si="12"/>
        <v>2</v>
      </c>
      <c r="L47" s="7">
        <f t="shared" si="12"/>
        <v>1</v>
      </c>
      <c r="M47" s="7">
        <f t="shared" si="12"/>
        <v>1</v>
      </c>
      <c r="N47" s="7">
        <f t="shared" si="17"/>
        <v>1</v>
      </c>
      <c r="O47" s="7">
        <f t="shared" si="14"/>
        <v>1</v>
      </c>
      <c r="P47" s="7">
        <f t="shared" si="14"/>
        <v>1</v>
      </c>
      <c r="AD47" s="11">
        <f t="shared" si="2"/>
        <v>1.9459101490553132</v>
      </c>
      <c r="AJ47" s="11">
        <f t="shared" si="4"/>
        <v>9.5325999999999986</v>
      </c>
      <c r="AK47" s="13">
        <f t="shared" si="5"/>
        <v>6.4140627599999931</v>
      </c>
      <c r="AN47" s="13">
        <f t="shared" si="6"/>
        <v>14.495238095238095</v>
      </c>
      <c r="AO47" s="13">
        <f t="shared" si="7"/>
        <v>56.178594104308388</v>
      </c>
      <c r="AR47" s="7">
        <f t="shared" si="8"/>
        <v>7</v>
      </c>
    </row>
    <row r="48" spans="1:44" x14ac:dyDescent="0.2">
      <c r="A48" s="7">
        <f t="shared" si="15"/>
        <v>2013</v>
      </c>
      <c r="B48" s="7">
        <f t="shared" si="16"/>
        <v>10</v>
      </c>
      <c r="C48" s="7" t="str">
        <f t="shared" si="1"/>
        <v>2013-10</v>
      </c>
      <c r="D48" s="7">
        <f>COUNTIFS(Sheet1!G:G,Sheet3!A48,Sheet1!F:F,Sheet3!B48)</f>
        <v>3</v>
      </c>
      <c r="E48" s="7">
        <f t="shared" si="9"/>
        <v>7</v>
      </c>
      <c r="F48" s="7">
        <f t="shared" si="9"/>
        <v>0</v>
      </c>
      <c r="G48" s="7">
        <f t="shared" si="9"/>
        <v>0</v>
      </c>
      <c r="H48" s="7">
        <f t="shared" si="9"/>
        <v>1</v>
      </c>
      <c r="I48" s="7">
        <f t="shared" si="13"/>
        <v>2</v>
      </c>
      <c r="J48" s="7">
        <f t="shared" si="12"/>
        <v>7</v>
      </c>
      <c r="K48" s="7">
        <f t="shared" si="12"/>
        <v>3</v>
      </c>
      <c r="L48" s="7">
        <f t="shared" si="12"/>
        <v>2</v>
      </c>
      <c r="M48" s="7">
        <f t="shared" si="12"/>
        <v>1</v>
      </c>
      <c r="N48" s="7">
        <f t="shared" si="17"/>
        <v>1</v>
      </c>
      <c r="O48" s="7">
        <f t="shared" si="14"/>
        <v>1</v>
      </c>
      <c r="P48" s="7">
        <f t="shared" si="14"/>
        <v>1</v>
      </c>
      <c r="AD48" s="11">
        <f t="shared" si="2"/>
        <v>1.0986122886681098</v>
      </c>
      <c r="AJ48" s="11">
        <f t="shared" si="4"/>
        <v>9.8002000000000002</v>
      </c>
      <c r="AK48" s="13">
        <f t="shared" si="5"/>
        <v>46.242720040000002</v>
      </c>
      <c r="AN48" s="13">
        <f t="shared" si="6"/>
        <v>14.495238095238095</v>
      </c>
      <c r="AO48" s="13">
        <f t="shared" si="7"/>
        <v>132.14049886621316</v>
      </c>
      <c r="AR48" s="7">
        <f t="shared" si="8"/>
        <v>3</v>
      </c>
    </row>
    <row r="49" spans="1:44" x14ac:dyDescent="0.2">
      <c r="A49" s="7">
        <f t="shared" si="15"/>
        <v>2013</v>
      </c>
      <c r="B49" s="7">
        <f t="shared" si="16"/>
        <v>11</v>
      </c>
      <c r="C49" s="7" t="str">
        <f t="shared" si="1"/>
        <v>2013-11</v>
      </c>
      <c r="D49" s="7">
        <f>COUNTIFS(Sheet1!G:G,Sheet3!A49,Sheet1!F:F,Sheet3!B49)</f>
        <v>4</v>
      </c>
      <c r="E49" s="7">
        <f t="shared" si="9"/>
        <v>3</v>
      </c>
      <c r="F49" s="7">
        <f t="shared" si="9"/>
        <v>7</v>
      </c>
      <c r="G49" s="7">
        <f t="shared" si="9"/>
        <v>0</v>
      </c>
      <c r="H49" s="7">
        <f t="shared" si="9"/>
        <v>0</v>
      </c>
      <c r="I49" s="7">
        <f t="shared" si="13"/>
        <v>1</v>
      </c>
      <c r="J49" s="7">
        <f t="shared" si="12"/>
        <v>2</v>
      </c>
      <c r="K49" s="7">
        <f t="shared" si="12"/>
        <v>7</v>
      </c>
      <c r="L49" s="7">
        <f t="shared" si="12"/>
        <v>3</v>
      </c>
      <c r="M49" s="7">
        <f t="shared" si="12"/>
        <v>2</v>
      </c>
      <c r="N49" s="7">
        <f t="shared" si="17"/>
        <v>1</v>
      </c>
      <c r="O49" s="7">
        <f t="shared" si="14"/>
        <v>1</v>
      </c>
      <c r="P49" s="7">
        <f t="shared" si="14"/>
        <v>1</v>
      </c>
      <c r="AD49" s="11">
        <f t="shared" si="2"/>
        <v>1.3862943611198906</v>
      </c>
      <c r="AJ49" s="11">
        <f t="shared" si="4"/>
        <v>10.067799999999998</v>
      </c>
      <c r="AK49" s="13">
        <f t="shared" si="5"/>
        <v>36.818196839999977</v>
      </c>
      <c r="AN49" s="13">
        <f t="shared" si="6"/>
        <v>14.495238095238095</v>
      </c>
      <c r="AO49" s="13">
        <f t="shared" si="7"/>
        <v>110.15002267573696</v>
      </c>
      <c r="AR49" s="7">
        <f t="shared" si="8"/>
        <v>4</v>
      </c>
    </row>
    <row r="50" spans="1:44" x14ac:dyDescent="0.2">
      <c r="A50" s="7">
        <f t="shared" si="15"/>
        <v>2013</v>
      </c>
      <c r="B50" s="7">
        <f t="shared" si="16"/>
        <v>12</v>
      </c>
      <c r="C50" s="7" t="str">
        <f t="shared" si="1"/>
        <v>2013-12</v>
      </c>
      <c r="D50" s="7">
        <f>COUNTIFS(Sheet1!G:G,Sheet3!A50,Sheet1!F:F,Sheet3!B50)</f>
        <v>12</v>
      </c>
      <c r="E50" s="7">
        <f t="shared" si="9"/>
        <v>4</v>
      </c>
      <c r="F50" s="7">
        <f t="shared" si="9"/>
        <v>3</v>
      </c>
      <c r="G50" s="7">
        <f t="shared" si="9"/>
        <v>7</v>
      </c>
      <c r="H50" s="7">
        <f t="shared" si="9"/>
        <v>0</v>
      </c>
      <c r="I50" s="7">
        <f t="shared" si="13"/>
        <v>0</v>
      </c>
      <c r="J50" s="7">
        <f t="shared" si="12"/>
        <v>1</v>
      </c>
      <c r="K50" s="7">
        <f t="shared" si="12"/>
        <v>2</v>
      </c>
      <c r="L50" s="7">
        <f t="shared" si="12"/>
        <v>7</v>
      </c>
      <c r="M50" s="7">
        <f t="shared" si="12"/>
        <v>3</v>
      </c>
      <c r="N50" s="7">
        <f t="shared" si="17"/>
        <v>2</v>
      </c>
      <c r="O50" s="7">
        <f t="shared" si="14"/>
        <v>1</v>
      </c>
      <c r="P50" s="7">
        <f t="shared" si="14"/>
        <v>1</v>
      </c>
      <c r="AD50" s="11">
        <f t="shared" si="2"/>
        <v>2.4849066497880004</v>
      </c>
      <c r="AJ50" s="11">
        <f t="shared" si="4"/>
        <v>10.3354</v>
      </c>
      <c r="AK50" s="13">
        <f t="shared" si="5"/>
        <v>2.7708931600000004</v>
      </c>
      <c r="AN50" s="13">
        <f t="shared" si="6"/>
        <v>14.495238095238095</v>
      </c>
      <c r="AO50" s="13">
        <f t="shared" si="7"/>
        <v>6.2262131519274373</v>
      </c>
      <c r="AR50" s="7">
        <f t="shared" si="8"/>
        <v>12</v>
      </c>
    </row>
    <row r="51" spans="1:44" x14ac:dyDescent="0.2">
      <c r="A51" s="7">
        <f t="shared" si="15"/>
        <v>2014</v>
      </c>
      <c r="B51" s="7">
        <f t="shared" si="16"/>
        <v>1</v>
      </c>
      <c r="C51" s="7" t="str">
        <f t="shared" si="1"/>
        <v>2014-1</v>
      </c>
      <c r="D51" s="7">
        <f>COUNTIFS(Sheet1!G:G,Sheet3!A51,Sheet1!F:F,Sheet3!B51)</f>
        <v>5</v>
      </c>
      <c r="E51" s="7">
        <f t="shared" si="9"/>
        <v>12</v>
      </c>
      <c r="F51" s="7">
        <f t="shared" si="9"/>
        <v>4</v>
      </c>
      <c r="G51" s="7">
        <f t="shared" si="9"/>
        <v>3</v>
      </c>
      <c r="H51" s="7">
        <f t="shared" si="9"/>
        <v>7</v>
      </c>
      <c r="I51" s="7">
        <f t="shared" si="13"/>
        <v>0</v>
      </c>
      <c r="J51" s="7">
        <f t="shared" si="12"/>
        <v>0</v>
      </c>
      <c r="K51" s="7">
        <f t="shared" si="12"/>
        <v>1</v>
      </c>
      <c r="L51" s="7">
        <f t="shared" si="12"/>
        <v>2</v>
      </c>
      <c r="M51" s="7">
        <f t="shared" si="12"/>
        <v>7</v>
      </c>
      <c r="N51" s="7">
        <f t="shared" si="17"/>
        <v>3</v>
      </c>
      <c r="O51" s="7">
        <f t="shared" si="14"/>
        <v>2</v>
      </c>
      <c r="P51" s="7">
        <f t="shared" si="14"/>
        <v>1</v>
      </c>
      <c r="AD51" s="11">
        <f t="shared" si="2"/>
        <v>1.6094379124341003</v>
      </c>
      <c r="AJ51" s="11">
        <f t="shared" si="4"/>
        <v>10.603000000000002</v>
      </c>
      <c r="AK51" s="13">
        <f t="shared" si="5"/>
        <v>31.393609000000016</v>
      </c>
      <c r="AN51" s="13">
        <f t="shared" si="6"/>
        <v>14.495238095238095</v>
      </c>
      <c r="AO51" s="13">
        <f t="shared" si="7"/>
        <v>90.159546485260776</v>
      </c>
      <c r="AR51" s="7">
        <f t="shared" si="8"/>
        <v>5</v>
      </c>
    </row>
    <row r="52" spans="1:44" x14ac:dyDescent="0.2">
      <c r="A52" s="7">
        <f t="shared" si="15"/>
        <v>2014</v>
      </c>
      <c r="B52" s="7">
        <f t="shared" si="16"/>
        <v>2</v>
      </c>
      <c r="C52" s="7" t="str">
        <f t="shared" si="1"/>
        <v>2014-2</v>
      </c>
      <c r="D52" s="7">
        <f>COUNTIFS(Sheet1!G:G,Sheet3!A52,Sheet1!F:F,Sheet3!B52)</f>
        <v>4</v>
      </c>
      <c r="E52" s="7">
        <f t="shared" si="9"/>
        <v>5</v>
      </c>
      <c r="F52" s="7">
        <f t="shared" si="9"/>
        <v>12</v>
      </c>
      <c r="G52" s="7">
        <f t="shared" si="9"/>
        <v>4</v>
      </c>
      <c r="H52" s="7">
        <f t="shared" si="9"/>
        <v>3</v>
      </c>
      <c r="I52" s="7">
        <f t="shared" si="13"/>
        <v>7</v>
      </c>
      <c r="J52" s="7">
        <f t="shared" si="12"/>
        <v>0</v>
      </c>
      <c r="K52" s="7">
        <f t="shared" si="12"/>
        <v>0</v>
      </c>
      <c r="L52" s="7">
        <f t="shared" si="12"/>
        <v>1</v>
      </c>
      <c r="M52" s="7">
        <f t="shared" si="12"/>
        <v>2</v>
      </c>
      <c r="N52" s="7">
        <f t="shared" si="17"/>
        <v>7</v>
      </c>
      <c r="O52" s="7">
        <f t="shared" si="14"/>
        <v>3</v>
      </c>
      <c r="P52" s="7">
        <f t="shared" si="14"/>
        <v>2</v>
      </c>
      <c r="AD52" s="11">
        <f t="shared" si="2"/>
        <v>1.3862943611198906</v>
      </c>
      <c r="AJ52" s="11">
        <f t="shared" si="4"/>
        <v>10.8706</v>
      </c>
      <c r="AK52" s="13">
        <f t="shared" si="5"/>
        <v>47.205144359999991</v>
      </c>
      <c r="AN52" s="13">
        <f t="shared" si="6"/>
        <v>14.495238095238095</v>
      </c>
      <c r="AO52" s="13">
        <f t="shared" si="7"/>
        <v>110.15002267573696</v>
      </c>
      <c r="AR52" s="7">
        <f t="shared" si="8"/>
        <v>4</v>
      </c>
    </row>
    <row r="53" spans="1:44" x14ac:dyDescent="0.2">
      <c r="A53" s="7">
        <f t="shared" si="15"/>
        <v>2014</v>
      </c>
      <c r="B53" s="7">
        <f t="shared" si="16"/>
        <v>3</v>
      </c>
      <c r="C53" s="7" t="str">
        <f t="shared" si="1"/>
        <v>2014-3</v>
      </c>
      <c r="D53" s="7">
        <f>COUNTIFS(Sheet1!G:G,Sheet3!A53,Sheet1!F:F,Sheet3!B53)</f>
        <v>6</v>
      </c>
      <c r="E53" s="7">
        <f t="shared" si="9"/>
        <v>4</v>
      </c>
      <c r="F53" s="7">
        <f t="shared" si="9"/>
        <v>5</v>
      </c>
      <c r="G53" s="7">
        <f t="shared" si="9"/>
        <v>12</v>
      </c>
      <c r="H53" s="7">
        <f t="shared" si="9"/>
        <v>4</v>
      </c>
      <c r="I53" s="7">
        <f t="shared" si="13"/>
        <v>3</v>
      </c>
      <c r="J53" s="7">
        <f t="shared" si="12"/>
        <v>7</v>
      </c>
      <c r="K53" s="7">
        <f t="shared" si="12"/>
        <v>0</v>
      </c>
      <c r="L53" s="7">
        <f t="shared" si="12"/>
        <v>0</v>
      </c>
      <c r="M53" s="7">
        <f t="shared" si="12"/>
        <v>1</v>
      </c>
      <c r="N53" s="7">
        <f t="shared" si="17"/>
        <v>2</v>
      </c>
      <c r="O53" s="7">
        <f t="shared" si="14"/>
        <v>7</v>
      </c>
      <c r="P53" s="7">
        <f t="shared" si="14"/>
        <v>3</v>
      </c>
      <c r="AD53" s="11">
        <f t="shared" si="2"/>
        <v>1.791759469228055</v>
      </c>
      <c r="AJ53" s="11">
        <f t="shared" si="4"/>
        <v>11.138200000000001</v>
      </c>
      <c r="AK53" s="13">
        <f t="shared" si="5"/>
        <v>26.401099240000011</v>
      </c>
      <c r="AN53" s="13">
        <f t="shared" si="6"/>
        <v>14.495238095238095</v>
      </c>
      <c r="AO53" s="13">
        <f t="shared" si="7"/>
        <v>72.169070294784575</v>
      </c>
      <c r="AR53" s="7">
        <f t="shared" si="8"/>
        <v>6</v>
      </c>
    </row>
    <row r="54" spans="1:44" x14ac:dyDescent="0.2">
      <c r="A54" s="7">
        <f t="shared" si="15"/>
        <v>2014</v>
      </c>
      <c r="B54" s="7">
        <f t="shared" si="16"/>
        <v>4</v>
      </c>
      <c r="C54" s="7" t="str">
        <f t="shared" si="1"/>
        <v>2014-4</v>
      </c>
      <c r="D54" s="7">
        <f>COUNTIFS(Sheet1!G:G,Sheet3!A54,Sheet1!F:F,Sheet3!B54)</f>
        <v>1</v>
      </c>
      <c r="E54" s="7">
        <f t="shared" si="9"/>
        <v>6</v>
      </c>
      <c r="F54" s="7">
        <f t="shared" si="9"/>
        <v>4</v>
      </c>
      <c r="G54" s="7">
        <f t="shared" si="9"/>
        <v>5</v>
      </c>
      <c r="H54" s="7">
        <f t="shared" si="9"/>
        <v>12</v>
      </c>
      <c r="I54" s="7">
        <f t="shared" si="13"/>
        <v>4</v>
      </c>
      <c r="J54" s="7">
        <f t="shared" si="12"/>
        <v>3</v>
      </c>
      <c r="K54" s="7">
        <f t="shared" si="12"/>
        <v>7</v>
      </c>
      <c r="L54" s="7">
        <f t="shared" si="12"/>
        <v>0</v>
      </c>
      <c r="M54" s="7">
        <f t="shared" si="12"/>
        <v>0</v>
      </c>
      <c r="N54" s="7">
        <f t="shared" si="17"/>
        <v>1</v>
      </c>
      <c r="O54" s="7">
        <f t="shared" si="14"/>
        <v>2</v>
      </c>
      <c r="P54" s="7">
        <f t="shared" si="14"/>
        <v>7</v>
      </c>
      <c r="AD54" s="11">
        <f t="shared" si="2"/>
        <v>0</v>
      </c>
      <c r="AJ54" s="11">
        <f t="shared" si="4"/>
        <v>11.405799999999999</v>
      </c>
      <c r="AK54" s="13">
        <f t="shared" si="5"/>
        <v>108.28067363999999</v>
      </c>
      <c r="AN54" s="13">
        <f t="shared" si="6"/>
        <v>14.495238095238095</v>
      </c>
      <c r="AO54" s="13">
        <f t="shared" si="7"/>
        <v>182.12145124716554</v>
      </c>
      <c r="AR54" s="7">
        <f t="shared" si="8"/>
        <v>1</v>
      </c>
    </row>
    <row r="55" spans="1:44" x14ac:dyDescent="0.2">
      <c r="A55" s="7">
        <f t="shared" si="15"/>
        <v>2014</v>
      </c>
      <c r="B55" s="7">
        <f t="shared" si="16"/>
        <v>5</v>
      </c>
      <c r="C55" s="7" t="str">
        <f t="shared" si="1"/>
        <v>2014-5</v>
      </c>
      <c r="D55" s="7">
        <f>COUNTIFS(Sheet1!G:G,Sheet3!A55,Sheet1!F:F,Sheet3!B55)</f>
        <v>4</v>
      </c>
      <c r="E55" s="7">
        <f t="shared" si="9"/>
        <v>1</v>
      </c>
      <c r="F55" s="7">
        <f t="shared" si="9"/>
        <v>6</v>
      </c>
      <c r="G55" s="7">
        <f t="shared" si="9"/>
        <v>4</v>
      </c>
      <c r="H55" s="7">
        <f t="shared" si="9"/>
        <v>5</v>
      </c>
      <c r="I55" s="7">
        <f t="shared" si="13"/>
        <v>12</v>
      </c>
      <c r="J55" s="7">
        <f t="shared" si="12"/>
        <v>4</v>
      </c>
      <c r="K55" s="7">
        <f t="shared" si="12"/>
        <v>3</v>
      </c>
      <c r="L55" s="7">
        <f t="shared" si="12"/>
        <v>7</v>
      </c>
      <c r="M55" s="7">
        <f t="shared" si="12"/>
        <v>0</v>
      </c>
      <c r="N55" s="7">
        <f t="shared" si="17"/>
        <v>0</v>
      </c>
      <c r="O55" s="7">
        <f t="shared" si="14"/>
        <v>1</v>
      </c>
      <c r="P55" s="7">
        <f t="shared" si="14"/>
        <v>2</v>
      </c>
      <c r="AD55" s="11">
        <f t="shared" si="2"/>
        <v>1.3862943611198906</v>
      </c>
      <c r="AJ55" s="11">
        <f t="shared" si="4"/>
        <v>11.673400000000001</v>
      </c>
      <c r="AK55" s="13">
        <f t="shared" si="5"/>
        <v>58.881067560000012</v>
      </c>
      <c r="AN55" s="13">
        <f t="shared" si="6"/>
        <v>14.495238095238095</v>
      </c>
      <c r="AO55" s="13">
        <f t="shared" si="7"/>
        <v>110.15002267573696</v>
      </c>
      <c r="AR55" s="7">
        <f t="shared" si="8"/>
        <v>4</v>
      </c>
    </row>
    <row r="56" spans="1:44" x14ac:dyDescent="0.2">
      <c r="A56" s="7">
        <f t="shared" si="15"/>
        <v>2014</v>
      </c>
      <c r="B56" s="7">
        <f t="shared" si="16"/>
        <v>6</v>
      </c>
      <c r="C56" s="7" t="str">
        <f t="shared" si="1"/>
        <v>2014-6</v>
      </c>
      <c r="D56" s="7">
        <f>COUNTIFS(Sheet1!G:G,Sheet3!A56,Sheet1!F:F,Sheet3!B56)</f>
        <v>1</v>
      </c>
      <c r="E56" s="7">
        <f t="shared" si="9"/>
        <v>4</v>
      </c>
      <c r="F56" s="7">
        <f t="shared" si="9"/>
        <v>1</v>
      </c>
      <c r="G56" s="7">
        <f t="shared" si="9"/>
        <v>6</v>
      </c>
      <c r="H56" s="7">
        <f t="shared" si="9"/>
        <v>4</v>
      </c>
      <c r="I56" s="7">
        <f t="shared" si="13"/>
        <v>5</v>
      </c>
      <c r="J56" s="7">
        <f t="shared" si="12"/>
        <v>12</v>
      </c>
      <c r="K56" s="7">
        <f t="shared" si="12"/>
        <v>4</v>
      </c>
      <c r="L56" s="7">
        <f t="shared" si="12"/>
        <v>3</v>
      </c>
      <c r="M56" s="7">
        <f t="shared" si="12"/>
        <v>7</v>
      </c>
      <c r="N56" s="7">
        <f t="shared" si="17"/>
        <v>0</v>
      </c>
      <c r="O56" s="7">
        <f t="shared" si="14"/>
        <v>0</v>
      </c>
      <c r="P56" s="7">
        <f t="shared" si="14"/>
        <v>1</v>
      </c>
      <c r="AD56" s="11">
        <f t="shared" si="2"/>
        <v>0</v>
      </c>
      <c r="AJ56" s="11">
        <f t="shared" si="4"/>
        <v>11.940999999999999</v>
      </c>
      <c r="AK56" s="13">
        <f t="shared" si="5"/>
        <v>119.70548099999998</v>
      </c>
      <c r="AN56" s="13">
        <f t="shared" si="6"/>
        <v>14.495238095238095</v>
      </c>
      <c r="AO56" s="13">
        <f t="shared" si="7"/>
        <v>182.12145124716554</v>
      </c>
      <c r="AR56" s="7">
        <f t="shared" si="8"/>
        <v>1</v>
      </c>
    </row>
    <row r="57" spans="1:44" x14ac:dyDescent="0.2">
      <c r="A57" s="7">
        <f t="shared" si="15"/>
        <v>2014</v>
      </c>
      <c r="B57" s="7">
        <f t="shared" si="16"/>
        <v>7</v>
      </c>
      <c r="C57" s="7" t="str">
        <f t="shared" si="1"/>
        <v>2014-7</v>
      </c>
      <c r="D57" s="7">
        <f>COUNTIFS(Sheet1!G:G,Sheet3!A57,Sheet1!F:F,Sheet3!B57)</f>
        <v>1</v>
      </c>
      <c r="E57" s="7">
        <f t="shared" si="9"/>
        <v>1</v>
      </c>
      <c r="F57" s="7">
        <f t="shared" si="9"/>
        <v>4</v>
      </c>
      <c r="G57" s="7">
        <f t="shared" si="9"/>
        <v>1</v>
      </c>
      <c r="H57" s="7">
        <f t="shared" si="9"/>
        <v>6</v>
      </c>
      <c r="I57" s="7">
        <f t="shared" si="13"/>
        <v>4</v>
      </c>
      <c r="J57" s="7">
        <f t="shared" si="12"/>
        <v>5</v>
      </c>
      <c r="K57" s="7">
        <f t="shared" si="12"/>
        <v>12</v>
      </c>
      <c r="L57" s="7">
        <f t="shared" si="12"/>
        <v>4</v>
      </c>
      <c r="M57" s="7">
        <f t="shared" si="12"/>
        <v>3</v>
      </c>
      <c r="N57" s="7">
        <f t="shared" si="17"/>
        <v>7</v>
      </c>
      <c r="O57" s="7">
        <f t="shared" si="14"/>
        <v>0</v>
      </c>
      <c r="P57" s="7">
        <f t="shared" si="14"/>
        <v>0</v>
      </c>
      <c r="AD57" s="11">
        <f t="shared" si="2"/>
        <v>0</v>
      </c>
      <c r="AJ57" s="11">
        <f t="shared" si="4"/>
        <v>12.208600000000001</v>
      </c>
      <c r="AK57" s="13">
        <f t="shared" si="5"/>
        <v>125.63271396000002</v>
      </c>
      <c r="AN57" s="13">
        <f t="shared" si="6"/>
        <v>14.495238095238095</v>
      </c>
      <c r="AO57" s="13">
        <f t="shared" si="7"/>
        <v>182.12145124716554</v>
      </c>
      <c r="AR57" s="7">
        <f t="shared" si="8"/>
        <v>1</v>
      </c>
    </row>
    <row r="58" spans="1:44" x14ac:dyDescent="0.2">
      <c r="A58" s="7">
        <f t="shared" si="15"/>
        <v>2014</v>
      </c>
      <c r="B58" s="7">
        <f t="shared" si="16"/>
        <v>8</v>
      </c>
      <c r="C58" s="7" t="str">
        <f t="shared" si="1"/>
        <v>2014-8</v>
      </c>
      <c r="D58" s="7">
        <f>COUNTIFS(Sheet1!G:G,Sheet3!A58,Sheet1!F:F,Sheet3!B58)</f>
        <v>5</v>
      </c>
      <c r="E58" s="7">
        <f t="shared" si="9"/>
        <v>1</v>
      </c>
      <c r="F58" s="7">
        <f t="shared" si="9"/>
        <v>1</v>
      </c>
      <c r="G58" s="7">
        <f t="shared" si="9"/>
        <v>4</v>
      </c>
      <c r="H58" s="7">
        <f t="shared" si="9"/>
        <v>1</v>
      </c>
      <c r="I58" s="7">
        <f t="shared" si="13"/>
        <v>6</v>
      </c>
      <c r="J58" s="7">
        <f t="shared" si="12"/>
        <v>4</v>
      </c>
      <c r="K58" s="7">
        <f t="shared" si="12"/>
        <v>5</v>
      </c>
      <c r="L58" s="7">
        <f t="shared" si="12"/>
        <v>12</v>
      </c>
      <c r="M58" s="7">
        <f t="shared" si="12"/>
        <v>4</v>
      </c>
      <c r="N58" s="7">
        <f t="shared" si="17"/>
        <v>3</v>
      </c>
      <c r="O58" s="7">
        <f t="shared" si="14"/>
        <v>7</v>
      </c>
      <c r="P58" s="7">
        <f t="shared" si="14"/>
        <v>0</v>
      </c>
      <c r="AD58" s="11">
        <f t="shared" si="2"/>
        <v>1.6094379124341003</v>
      </c>
      <c r="AJ58" s="11">
        <f t="shared" si="4"/>
        <v>12.476199999999999</v>
      </c>
      <c r="AK58" s="13">
        <f t="shared" si="5"/>
        <v>55.893566439999979</v>
      </c>
      <c r="AN58" s="13">
        <f t="shared" si="6"/>
        <v>14.495238095238095</v>
      </c>
      <c r="AO58" s="13">
        <f t="shared" si="7"/>
        <v>90.159546485260776</v>
      </c>
      <c r="AR58" s="7">
        <f t="shared" si="8"/>
        <v>5</v>
      </c>
    </row>
    <row r="59" spans="1:44" x14ac:dyDescent="0.2">
      <c r="A59" s="7">
        <f t="shared" si="15"/>
        <v>2014</v>
      </c>
      <c r="B59" s="7">
        <f t="shared" si="16"/>
        <v>9</v>
      </c>
      <c r="C59" s="7" t="str">
        <f t="shared" si="1"/>
        <v>2014-9</v>
      </c>
      <c r="D59" s="7">
        <f>COUNTIFS(Sheet1!G:G,Sheet3!A59,Sheet1!F:F,Sheet3!B59)</f>
        <v>3</v>
      </c>
      <c r="E59" s="7">
        <f t="shared" si="9"/>
        <v>5</v>
      </c>
      <c r="F59" s="7">
        <f t="shared" si="9"/>
        <v>1</v>
      </c>
      <c r="G59" s="7">
        <f t="shared" si="9"/>
        <v>1</v>
      </c>
      <c r="H59" s="7">
        <f t="shared" si="9"/>
        <v>4</v>
      </c>
      <c r="I59" s="7">
        <f t="shared" si="13"/>
        <v>1</v>
      </c>
      <c r="J59" s="7">
        <f t="shared" si="12"/>
        <v>6</v>
      </c>
      <c r="K59" s="7">
        <f t="shared" si="12"/>
        <v>4</v>
      </c>
      <c r="L59" s="7">
        <f t="shared" si="12"/>
        <v>5</v>
      </c>
      <c r="M59" s="7">
        <f t="shared" si="12"/>
        <v>12</v>
      </c>
      <c r="N59" s="7">
        <f t="shared" si="17"/>
        <v>4</v>
      </c>
      <c r="O59" s="7">
        <f t="shared" si="14"/>
        <v>3</v>
      </c>
      <c r="P59" s="7">
        <f t="shared" si="14"/>
        <v>7</v>
      </c>
      <c r="AD59" s="11">
        <f t="shared" si="2"/>
        <v>1.0986122886681098</v>
      </c>
      <c r="AJ59" s="11">
        <f t="shared" si="4"/>
        <v>12.7438</v>
      </c>
      <c r="AK59" s="13">
        <f t="shared" si="5"/>
        <v>94.941638440000006</v>
      </c>
      <c r="AN59" s="13">
        <f t="shared" si="6"/>
        <v>14.495238095238095</v>
      </c>
      <c r="AO59" s="13">
        <f t="shared" si="7"/>
        <v>132.14049886621316</v>
      </c>
      <c r="AR59" s="7">
        <f t="shared" si="8"/>
        <v>3</v>
      </c>
    </row>
    <row r="60" spans="1:44" x14ac:dyDescent="0.2">
      <c r="A60" s="7">
        <f t="shared" si="15"/>
        <v>2014</v>
      </c>
      <c r="B60" s="7">
        <f t="shared" si="16"/>
        <v>10</v>
      </c>
      <c r="C60" s="7" t="str">
        <f t="shared" si="1"/>
        <v>2014-10</v>
      </c>
      <c r="D60" s="7">
        <f>COUNTIFS(Sheet1!G:G,Sheet3!A60,Sheet1!F:F,Sheet3!B60)</f>
        <v>1</v>
      </c>
      <c r="E60" s="7">
        <f t="shared" si="9"/>
        <v>3</v>
      </c>
      <c r="F60" s="7">
        <f t="shared" si="9"/>
        <v>5</v>
      </c>
      <c r="G60" s="7">
        <f t="shared" si="9"/>
        <v>1</v>
      </c>
      <c r="H60" s="7">
        <f t="shared" si="9"/>
        <v>1</v>
      </c>
      <c r="I60" s="7">
        <f t="shared" si="13"/>
        <v>4</v>
      </c>
      <c r="J60" s="7">
        <f t="shared" si="12"/>
        <v>1</v>
      </c>
      <c r="K60" s="7">
        <f t="shared" si="12"/>
        <v>6</v>
      </c>
      <c r="L60" s="7">
        <f t="shared" si="12"/>
        <v>4</v>
      </c>
      <c r="M60" s="7">
        <f t="shared" si="12"/>
        <v>5</v>
      </c>
      <c r="N60" s="7">
        <f t="shared" si="17"/>
        <v>12</v>
      </c>
      <c r="O60" s="7">
        <f t="shared" si="14"/>
        <v>4</v>
      </c>
      <c r="P60" s="7">
        <f t="shared" si="14"/>
        <v>3</v>
      </c>
      <c r="AD60" s="11">
        <f t="shared" si="2"/>
        <v>0</v>
      </c>
      <c r="AJ60" s="11">
        <f t="shared" si="4"/>
        <v>13.011400000000002</v>
      </c>
      <c r="AK60" s="13">
        <f t="shared" si="5"/>
        <v>144.27372996000005</v>
      </c>
      <c r="AN60" s="13">
        <f t="shared" si="6"/>
        <v>14.495238095238095</v>
      </c>
      <c r="AO60" s="13">
        <f t="shared" si="7"/>
        <v>182.12145124716554</v>
      </c>
      <c r="AR60" s="7">
        <f t="shared" si="8"/>
        <v>1</v>
      </c>
    </row>
    <row r="61" spans="1:44" x14ac:dyDescent="0.2">
      <c r="A61" s="7">
        <f t="shared" si="15"/>
        <v>2014</v>
      </c>
      <c r="B61" s="7">
        <f t="shared" si="16"/>
        <v>11</v>
      </c>
      <c r="C61" s="7" t="str">
        <f t="shared" si="1"/>
        <v>2014-11</v>
      </c>
      <c r="D61" s="7">
        <f>COUNTIFS(Sheet1!G:G,Sheet3!A61,Sheet1!F:F,Sheet3!B61)</f>
        <v>0</v>
      </c>
      <c r="E61" s="7">
        <f t="shared" si="9"/>
        <v>1</v>
      </c>
      <c r="F61" s="7">
        <f t="shared" si="9"/>
        <v>3</v>
      </c>
      <c r="G61" s="7">
        <f t="shared" si="9"/>
        <v>5</v>
      </c>
      <c r="H61" s="7">
        <f t="shared" si="9"/>
        <v>1</v>
      </c>
      <c r="I61" s="7">
        <f t="shared" si="13"/>
        <v>1</v>
      </c>
      <c r="J61" s="7">
        <f t="shared" si="12"/>
        <v>4</v>
      </c>
      <c r="K61" s="7">
        <f t="shared" si="12"/>
        <v>1</v>
      </c>
      <c r="L61" s="7">
        <f t="shared" si="12"/>
        <v>6</v>
      </c>
      <c r="M61" s="7">
        <f t="shared" si="12"/>
        <v>4</v>
      </c>
      <c r="N61" s="7">
        <f t="shared" si="17"/>
        <v>5</v>
      </c>
      <c r="O61" s="7">
        <f t="shared" si="14"/>
        <v>12</v>
      </c>
      <c r="P61" s="7">
        <f t="shared" si="14"/>
        <v>4</v>
      </c>
      <c r="AD61" s="11" t="str">
        <f t="shared" si="2"/>
        <v/>
      </c>
      <c r="AJ61" s="11">
        <f t="shared" si="4"/>
        <v>13.279</v>
      </c>
      <c r="AK61" s="13">
        <f t="shared" si="5"/>
        <v>176.331841</v>
      </c>
      <c r="AN61" s="13">
        <f t="shared" si="6"/>
        <v>14.495238095238095</v>
      </c>
      <c r="AO61" s="13" t="str">
        <f t="shared" si="7"/>
        <v/>
      </c>
      <c r="AR61" s="7" t="str">
        <f t="shared" si="8"/>
        <v/>
      </c>
    </row>
    <row r="62" spans="1:44" x14ac:dyDescent="0.2">
      <c r="A62" s="7">
        <f t="shared" si="15"/>
        <v>2014</v>
      </c>
      <c r="B62" s="7">
        <f t="shared" si="16"/>
        <v>12</v>
      </c>
      <c r="C62" s="7" t="str">
        <f t="shared" si="1"/>
        <v>2014-12</v>
      </c>
      <c r="D62" s="7">
        <f>COUNTIFS(Sheet1!G:G,Sheet3!A62,Sheet1!F:F,Sheet3!B62)</f>
        <v>2</v>
      </c>
      <c r="E62" s="7">
        <f t="shared" si="9"/>
        <v>0</v>
      </c>
      <c r="F62" s="7">
        <f t="shared" si="9"/>
        <v>1</v>
      </c>
      <c r="G62" s="7">
        <f t="shared" si="9"/>
        <v>3</v>
      </c>
      <c r="H62" s="7">
        <f t="shared" si="9"/>
        <v>5</v>
      </c>
      <c r="I62" s="7">
        <f t="shared" si="13"/>
        <v>1</v>
      </c>
      <c r="J62" s="7">
        <f t="shared" si="12"/>
        <v>1</v>
      </c>
      <c r="K62" s="7">
        <f t="shared" si="12"/>
        <v>4</v>
      </c>
      <c r="L62" s="7">
        <f t="shared" si="12"/>
        <v>1</v>
      </c>
      <c r="M62" s="7">
        <f t="shared" si="12"/>
        <v>6</v>
      </c>
      <c r="N62" s="7">
        <f t="shared" si="17"/>
        <v>4</v>
      </c>
      <c r="O62" s="7">
        <f t="shared" si="14"/>
        <v>5</v>
      </c>
      <c r="P62" s="7">
        <f t="shared" si="14"/>
        <v>12</v>
      </c>
      <c r="AD62" s="11">
        <f t="shared" si="2"/>
        <v>0.69314718055994529</v>
      </c>
      <c r="AJ62" s="11">
        <f t="shared" si="4"/>
        <v>13.546599999999998</v>
      </c>
      <c r="AK62" s="13">
        <f t="shared" si="5"/>
        <v>133.32397155999996</v>
      </c>
      <c r="AN62" s="13">
        <f t="shared" si="6"/>
        <v>14.495238095238095</v>
      </c>
      <c r="AO62" s="13">
        <f t="shared" si="7"/>
        <v>156.13097505668935</v>
      </c>
      <c r="AR62" s="7">
        <f t="shared" si="8"/>
        <v>2</v>
      </c>
    </row>
    <row r="63" spans="1:44" x14ac:dyDescent="0.2">
      <c r="A63" s="7">
        <f t="shared" si="15"/>
        <v>2015</v>
      </c>
      <c r="B63" s="7">
        <f t="shared" si="16"/>
        <v>1</v>
      </c>
      <c r="C63" s="7" t="str">
        <f t="shared" si="1"/>
        <v>2015-1</v>
      </c>
      <c r="D63" s="7">
        <f>COUNTIFS(Sheet1!G:G,Sheet3!A63,Sheet1!F:F,Sheet3!B63)</f>
        <v>1</v>
      </c>
      <c r="E63" s="7">
        <f t="shared" si="9"/>
        <v>2</v>
      </c>
      <c r="F63" s="7">
        <f t="shared" si="9"/>
        <v>0</v>
      </c>
      <c r="G63" s="7">
        <f t="shared" si="9"/>
        <v>1</v>
      </c>
      <c r="H63" s="7">
        <f t="shared" si="9"/>
        <v>3</v>
      </c>
      <c r="I63" s="7">
        <f t="shared" si="13"/>
        <v>5</v>
      </c>
      <c r="J63" s="7">
        <f t="shared" si="12"/>
        <v>1</v>
      </c>
      <c r="K63" s="7">
        <f t="shared" si="12"/>
        <v>1</v>
      </c>
      <c r="L63" s="7">
        <f t="shared" si="12"/>
        <v>4</v>
      </c>
      <c r="M63" s="7">
        <f t="shared" si="12"/>
        <v>1</v>
      </c>
      <c r="N63" s="7">
        <f t="shared" si="17"/>
        <v>6</v>
      </c>
      <c r="O63" s="7">
        <f t="shared" si="14"/>
        <v>4</v>
      </c>
      <c r="P63" s="7">
        <f t="shared" si="14"/>
        <v>5</v>
      </c>
      <c r="AD63" s="11">
        <f t="shared" si="2"/>
        <v>0</v>
      </c>
      <c r="AJ63" s="11">
        <f t="shared" si="4"/>
        <v>13.8142</v>
      </c>
      <c r="AK63" s="13">
        <f t="shared" si="5"/>
        <v>164.20372164</v>
      </c>
      <c r="AN63" s="13">
        <f t="shared" si="6"/>
        <v>14.495238095238095</v>
      </c>
      <c r="AO63" s="13">
        <f t="shared" si="7"/>
        <v>182.12145124716554</v>
      </c>
      <c r="AR63" s="7">
        <f t="shared" si="8"/>
        <v>1</v>
      </c>
    </row>
    <row r="64" spans="1:44" x14ac:dyDescent="0.2">
      <c r="A64" s="7">
        <f t="shared" si="15"/>
        <v>2015</v>
      </c>
      <c r="B64" s="7">
        <f t="shared" si="16"/>
        <v>2</v>
      </c>
      <c r="C64" s="7" t="str">
        <f t="shared" si="1"/>
        <v>2015-2</v>
      </c>
      <c r="D64" s="7">
        <f>COUNTIFS(Sheet1!G:G,Sheet3!A64,Sheet1!F:F,Sheet3!B64)</f>
        <v>1</v>
      </c>
      <c r="E64" s="7">
        <f t="shared" si="9"/>
        <v>1</v>
      </c>
      <c r="F64" s="7">
        <f t="shared" si="9"/>
        <v>2</v>
      </c>
      <c r="G64" s="7">
        <f t="shared" si="9"/>
        <v>0</v>
      </c>
      <c r="H64" s="7">
        <f t="shared" si="9"/>
        <v>1</v>
      </c>
      <c r="I64" s="7">
        <f t="shared" si="13"/>
        <v>3</v>
      </c>
      <c r="J64" s="7">
        <f t="shared" si="12"/>
        <v>5</v>
      </c>
      <c r="K64" s="7">
        <f t="shared" si="12"/>
        <v>1</v>
      </c>
      <c r="L64" s="7">
        <f t="shared" si="12"/>
        <v>1</v>
      </c>
      <c r="M64" s="7">
        <f t="shared" si="12"/>
        <v>4</v>
      </c>
      <c r="N64" s="7">
        <f t="shared" si="17"/>
        <v>1</v>
      </c>
      <c r="O64" s="7">
        <f t="shared" si="14"/>
        <v>6</v>
      </c>
      <c r="P64" s="7">
        <f t="shared" si="14"/>
        <v>4</v>
      </c>
      <c r="AD64" s="11">
        <f t="shared" si="2"/>
        <v>0</v>
      </c>
      <c r="AJ64" s="11">
        <f t="shared" si="4"/>
        <v>14.081799999999998</v>
      </c>
      <c r="AK64" s="13">
        <f t="shared" si="5"/>
        <v>171.13349123999993</v>
      </c>
      <c r="AN64" s="13">
        <f t="shared" si="6"/>
        <v>14.495238095238095</v>
      </c>
      <c r="AO64" s="13">
        <f t="shared" si="7"/>
        <v>182.12145124716554</v>
      </c>
      <c r="AR64" s="7">
        <f t="shared" si="8"/>
        <v>1</v>
      </c>
    </row>
    <row r="65" spans="1:44" x14ac:dyDescent="0.2">
      <c r="A65" s="7">
        <f t="shared" si="15"/>
        <v>2015</v>
      </c>
      <c r="B65" s="7">
        <f t="shared" si="16"/>
        <v>3</v>
      </c>
      <c r="C65" s="7" t="str">
        <f t="shared" si="1"/>
        <v>2015-3</v>
      </c>
      <c r="D65" s="7">
        <f>COUNTIFS(Sheet1!G:G,Sheet3!A65,Sheet1!F:F,Sheet3!B65)</f>
        <v>1</v>
      </c>
      <c r="E65" s="7">
        <f t="shared" si="9"/>
        <v>1</v>
      </c>
      <c r="F65" s="7">
        <f t="shared" si="9"/>
        <v>1</v>
      </c>
      <c r="G65" s="7">
        <f t="shared" si="9"/>
        <v>2</v>
      </c>
      <c r="H65" s="7">
        <f t="shared" si="9"/>
        <v>0</v>
      </c>
      <c r="I65" s="7">
        <f t="shared" si="13"/>
        <v>1</v>
      </c>
      <c r="J65" s="7">
        <f t="shared" si="12"/>
        <v>3</v>
      </c>
      <c r="K65" s="7">
        <f t="shared" si="12"/>
        <v>5</v>
      </c>
      <c r="L65" s="7">
        <f t="shared" si="12"/>
        <v>1</v>
      </c>
      <c r="M65" s="7">
        <f t="shared" si="12"/>
        <v>1</v>
      </c>
      <c r="N65" s="7">
        <f t="shared" si="17"/>
        <v>4</v>
      </c>
      <c r="O65" s="7">
        <f t="shared" si="14"/>
        <v>1</v>
      </c>
      <c r="P65" s="7">
        <f t="shared" si="14"/>
        <v>6</v>
      </c>
      <c r="AD65" s="11">
        <f t="shared" si="2"/>
        <v>0</v>
      </c>
      <c r="AJ65" s="11">
        <f t="shared" si="4"/>
        <v>14.349399999999999</v>
      </c>
      <c r="AK65" s="13">
        <f t="shared" si="5"/>
        <v>178.20648035999997</v>
      </c>
      <c r="AN65" s="13">
        <f t="shared" si="6"/>
        <v>14.495238095238095</v>
      </c>
      <c r="AO65" s="13">
        <f t="shared" si="7"/>
        <v>182.12145124716554</v>
      </c>
      <c r="AR65" s="7">
        <f t="shared" si="8"/>
        <v>1</v>
      </c>
    </row>
    <row r="66" spans="1:44" x14ac:dyDescent="0.2">
      <c r="A66" s="7">
        <f t="shared" si="15"/>
        <v>2015</v>
      </c>
      <c r="B66" s="7">
        <f t="shared" si="16"/>
        <v>4</v>
      </c>
      <c r="C66" s="7" t="str">
        <f t="shared" si="1"/>
        <v>2015-4</v>
      </c>
      <c r="D66" s="7">
        <f>COUNTIFS(Sheet1!G:G,Sheet3!A66,Sheet1!F:F,Sheet3!B66)</f>
        <v>3</v>
      </c>
      <c r="E66" s="7">
        <f t="shared" si="9"/>
        <v>1</v>
      </c>
      <c r="F66" s="7">
        <f t="shared" si="9"/>
        <v>1</v>
      </c>
      <c r="G66" s="7">
        <f t="shared" si="9"/>
        <v>1</v>
      </c>
      <c r="H66" s="7">
        <f t="shared" si="9"/>
        <v>2</v>
      </c>
      <c r="I66" s="7">
        <f t="shared" si="13"/>
        <v>0</v>
      </c>
      <c r="J66" s="7">
        <f t="shared" si="12"/>
        <v>1</v>
      </c>
      <c r="K66" s="7">
        <f t="shared" si="12"/>
        <v>3</v>
      </c>
      <c r="L66" s="7">
        <f t="shared" si="12"/>
        <v>5</v>
      </c>
      <c r="M66" s="7">
        <f t="shared" si="12"/>
        <v>1</v>
      </c>
      <c r="N66" s="7">
        <f t="shared" si="17"/>
        <v>1</v>
      </c>
      <c r="O66" s="7">
        <f t="shared" si="14"/>
        <v>4</v>
      </c>
      <c r="P66" s="7">
        <f t="shared" si="14"/>
        <v>1</v>
      </c>
      <c r="AD66" s="11">
        <f t="shared" si="2"/>
        <v>1.0986122886681098</v>
      </c>
      <c r="AJ66" s="11">
        <f t="shared" si="4"/>
        <v>14.617000000000001</v>
      </c>
      <c r="AK66" s="13">
        <f t="shared" si="5"/>
        <v>134.95468900000003</v>
      </c>
      <c r="AN66" s="13">
        <f t="shared" si="6"/>
        <v>14.495238095238095</v>
      </c>
      <c r="AO66" s="13">
        <f t="shared" si="7"/>
        <v>132.14049886621316</v>
      </c>
      <c r="AR66" s="7">
        <f t="shared" si="8"/>
        <v>3</v>
      </c>
    </row>
    <row r="67" spans="1:44" x14ac:dyDescent="0.2">
      <c r="A67" s="7">
        <f t="shared" si="15"/>
        <v>2015</v>
      </c>
      <c r="B67" s="7">
        <f t="shared" si="16"/>
        <v>5</v>
      </c>
      <c r="C67" s="7" t="str">
        <f t="shared" ref="C67:C118" si="18">CONCATENATE(A67,"-",B67)</f>
        <v>2015-5</v>
      </c>
      <c r="D67" s="7">
        <f>COUNTIFS(Sheet1!G:G,Sheet3!A67,Sheet1!F:F,Sheet3!B67)</f>
        <v>0</v>
      </c>
      <c r="E67" s="7">
        <f t="shared" si="9"/>
        <v>3</v>
      </c>
      <c r="F67" s="7">
        <f t="shared" si="9"/>
        <v>1</v>
      </c>
      <c r="G67" s="7">
        <f t="shared" si="9"/>
        <v>1</v>
      </c>
      <c r="H67" s="7">
        <f t="shared" si="9"/>
        <v>1</v>
      </c>
      <c r="I67" s="7">
        <f t="shared" si="13"/>
        <v>2</v>
      </c>
      <c r="J67" s="7">
        <f t="shared" si="12"/>
        <v>0</v>
      </c>
      <c r="K67" s="7">
        <f t="shared" si="12"/>
        <v>1</v>
      </c>
      <c r="L67" s="7">
        <f t="shared" si="12"/>
        <v>3</v>
      </c>
      <c r="M67" s="7">
        <f t="shared" si="12"/>
        <v>5</v>
      </c>
      <c r="N67" s="7">
        <f t="shared" si="17"/>
        <v>1</v>
      </c>
      <c r="O67" s="7">
        <f t="shared" si="14"/>
        <v>1</v>
      </c>
      <c r="P67" s="7">
        <f t="shared" si="14"/>
        <v>4</v>
      </c>
      <c r="AD67" s="11" t="str">
        <f t="shared" ref="AD67:AD118" si="19">IFERROR(LN(D67),"")</f>
        <v/>
      </c>
      <c r="AJ67" s="11">
        <f t="shared" ref="AJ67:AJ118" si="20">0.2676*(ROW(AI67)-1)-2.777</f>
        <v>14.884599999999999</v>
      </c>
      <c r="AK67" s="13">
        <f t="shared" ref="AK67:AK118" si="21">IFERROR((D67-AJ67)^2,"")</f>
        <v>221.55131715999997</v>
      </c>
      <c r="AN67" s="13">
        <f t="shared" ref="AN67:AN118" si="22">AVERAGEIF($D$2:$D$118,"&gt;"&amp;0,$D$2:$D$118)</f>
        <v>14.495238095238095</v>
      </c>
      <c r="AO67" s="13" t="str">
        <f t="shared" ref="AO67:AO118" si="23">IF(D67=0,"",(D67-AN67)^2)</f>
        <v/>
      </c>
      <c r="AR67" s="7" t="str">
        <f t="shared" ref="AR67:AR118" si="24">IF(D67=0,"",D67)</f>
        <v/>
      </c>
    </row>
    <row r="68" spans="1:44" x14ac:dyDescent="0.2">
      <c r="A68" s="7">
        <f t="shared" si="15"/>
        <v>2015</v>
      </c>
      <c r="B68" s="7">
        <f t="shared" si="16"/>
        <v>6</v>
      </c>
      <c r="C68" s="7" t="str">
        <f t="shared" si="18"/>
        <v>2015-6</v>
      </c>
      <c r="D68" s="7">
        <f>COUNTIFS(Sheet1!G:G,Sheet3!A68,Sheet1!F:F,Sheet3!B68)</f>
        <v>4</v>
      </c>
      <c r="E68" s="7">
        <f t="shared" ref="E68:J118" si="25">D67</f>
        <v>0</v>
      </c>
      <c r="F68" s="7">
        <f t="shared" si="25"/>
        <v>3</v>
      </c>
      <c r="G68" s="7">
        <f t="shared" si="25"/>
        <v>1</v>
      </c>
      <c r="H68" s="7">
        <f t="shared" si="25"/>
        <v>1</v>
      </c>
      <c r="I68" s="7">
        <f t="shared" si="13"/>
        <v>1</v>
      </c>
      <c r="J68" s="7">
        <f t="shared" si="12"/>
        <v>2</v>
      </c>
      <c r="K68" s="7">
        <f t="shared" si="12"/>
        <v>0</v>
      </c>
      <c r="L68" s="7">
        <f t="shared" si="12"/>
        <v>1</v>
      </c>
      <c r="M68" s="7">
        <f t="shared" si="12"/>
        <v>3</v>
      </c>
      <c r="N68" s="7">
        <f t="shared" si="17"/>
        <v>5</v>
      </c>
      <c r="O68" s="7">
        <f t="shared" si="14"/>
        <v>1</v>
      </c>
      <c r="P68" s="7">
        <f t="shared" si="14"/>
        <v>1</v>
      </c>
      <c r="AD68" s="11">
        <f t="shared" si="19"/>
        <v>1.3862943611198906</v>
      </c>
      <c r="AJ68" s="11">
        <f t="shared" si="20"/>
        <v>15.152200000000001</v>
      </c>
      <c r="AK68" s="13">
        <f t="shared" si="21"/>
        <v>124.37156484000002</v>
      </c>
      <c r="AN68" s="13">
        <f t="shared" si="22"/>
        <v>14.495238095238095</v>
      </c>
      <c r="AO68" s="13">
        <f t="shared" si="23"/>
        <v>110.15002267573696</v>
      </c>
      <c r="AR68" s="7">
        <f t="shared" si="24"/>
        <v>4</v>
      </c>
    </row>
    <row r="69" spans="1:44" x14ac:dyDescent="0.2">
      <c r="A69" s="7">
        <f t="shared" si="15"/>
        <v>2015</v>
      </c>
      <c r="B69" s="7">
        <f t="shared" si="16"/>
        <v>7</v>
      </c>
      <c r="C69" s="7" t="str">
        <f t="shared" si="18"/>
        <v>2015-7</v>
      </c>
      <c r="D69" s="7">
        <f>COUNTIFS(Sheet1!G:G,Sheet3!A69,Sheet1!F:F,Sheet3!B69)</f>
        <v>36</v>
      </c>
      <c r="E69" s="7">
        <f t="shared" si="25"/>
        <v>4</v>
      </c>
      <c r="F69" s="7">
        <f t="shared" si="25"/>
        <v>0</v>
      </c>
      <c r="G69" s="7">
        <f t="shared" si="25"/>
        <v>3</v>
      </c>
      <c r="H69" s="7">
        <f t="shared" si="25"/>
        <v>1</v>
      </c>
      <c r="I69" s="7">
        <f t="shared" si="13"/>
        <v>1</v>
      </c>
      <c r="J69" s="7">
        <f t="shared" si="12"/>
        <v>1</v>
      </c>
      <c r="K69" s="7">
        <f t="shared" si="12"/>
        <v>2</v>
      </c>
      <c r="L69" s="7">
        <f t="shared" si="12"/>
        <v>0</v>
      </c>
      <c r="M69" s="7">
        <f t="shared" si="12"/>
        <v>1</v>
      </c>
      <c r="N69" s="7">
        <f t="shared" si="17"/>
        <v>3</v>
      </c>
      <c r="O69" s="7">
        <f t="shared" si="14"/>
        <v>5</v>
      </c>
      <c r="P69" s="7">
        <f t="shared" si="14"/>
        <v>1</v>
      </c>
      <c r="AD69" s="11">
        <f t="shared" si="19"/>
        <v>3.5835189384561099</v>
      </c>
      <c r="AJ69" s="11">
        <f t="shared" si="20"/>
        <v>15.419799999999999</v>
      </c>
      <c r="AK69" s="13">
        <f t="shared" si="21"/>
        <v>423.54463204000007</v>
      </c>
      <c r="AN69" s="13">
        <f t="shared" si="22"/>
        <v>14.495238095238095</v>
      </c>
      <c r="AO69" s="13">
        <f t="shared" si="23"/>
        <v>462.45478458049894</v>
      </c>
      <c r="AR69" s="7">
        <f t="shared" si="24"/>
        <v>36</v>
      </c>
    </row>
    <row r="70" spans="1:44" x14ac:dyDescent="0.2">
      <c r="A70" s="7">
        <f t="shared" si="15"/>
        <v>2015</v>
      </c>
      <c r="B70" s="7">
        <f t="shared" si="16"/>
        <v>8</v>
      </c>
      <c r="C70" s="7" t="str">
        <f t="shared" si="18"/>
        <v>2015-8</v>
      </c>
      <c r="D70" s="7">
        <f>COUNTIFS(Sheet1!G:G,Sheet3!A70,Sheet1!F:F,Sheet3!B70)</f>
        <v>46</v>
      </c>
      <c r="E70" s="7">
        <f t="shared" si="25"/>
        <v>36</v>
      </c>
      <c r="F70" s="7">
        <f t="shared" si="25"/>
        <v>4</v>
      </c>
      <c r="G70" s="7">
        <f t="shared" si="25"/>
        <v>0</v>
      </c>
      <c r="H70" s="7">
        <f t="shared" si="25"/>
        <v>3</v>
      </c>
      <c r="I70" s="7">
        <f t="shared" si="13"/>
        <v>1</v>
      </c>
      <c r="J70" s="7">
        <f t="shared" si="12"/>
        <v>1</v>
      </c>
      <c r="K70" s="7">
        <f t="shared" si="12"/>
        <v>1</v>
      </c>
      <c r="L70" s="7">
        <f t="shared" si="12"/>
        <v>2</v>
      </c>
      <c r="M70" s="7">
        <f t="shared" si="12"/>
        <v>0</v>
      </c>
      <c r="N70" s="7">
        <f t="shared" si="17"/>
        <v>1</v>
      </c>
      <c r="O70" s="7">
        <f t="shared" si="14"/>
        <v>3</v>
      </c>
      <c r="P70" s="7">
        <f t="shared" si="14"/>
        <v>5</v>
      </c>
      <c r="AD70" s="11">
        <f t="shared" si="19"/>
        <v>3.8286413964890951</v>
      </c>
      <c r="AJ70" s="11">
        <f t="shared" si="20"/>
        <v>15.6874</v>
      </c>
      <c r="AK70" s="13">
        <f t="shared" si="21"/>
        <v>918.85371875999999</v>
      </c>
      <c r="AN70" s="13">
        <f t="shared" si="22"/>
        <v>14.495238095238095</v>
      </c>
      <c r="AO70" s="13">
        <f t="shared" si="23"/>
        <v>992.55002267573707</v>
      </c>
      <c r="AR70" s="7">
        <f t="shared" si="24"/>
        <v>46</v>
      </c>
    </row>
    <row r="71" spans="1:44" x14ac:dyDescent="0.2">
      <c r="A71" s="7">
        <f t="shared" si="15"/>
        <v>2015</v>
      </c>
      <c r="B71" s="7">
        <f t="shared" si="16"/>
        <v>9</v>
      </c>
      <c r="C71" s="7" t="str">
        <f t="shared" si="18"/>
        <v>2015-9</v>
      </c>
      <c r="D71" s="7">
        <f>COUNTIFS(Sheet1!G:G,Sheet3!A71,Sheet1!F:F,Sheet3!B71)</f>
        <v>11</v>
      </c>
      <c r="E71" s="7">
        <f t="shared" si="25"/>
        <v>46</v>
      </c>
      <c r="F71" s="7">
        <f t="shared" si="25"/>
        <v>36</v>
      </c>
      <c r="G71" s="7">
        <f t="shared" si="25"/>
        <v>4</v>
      </c>
      <c r="H71" s="7">
        <f t="shared" si="25"/>
        <v>0</v>
      </c>
      <c r="I71" s="7">
        <f t="shared" si="13"/>
        <v>3</v>
      </c>
      <c r="J71" s="7">
        <f t="shared" si="12"/>
        <v>1</v>
      </c>
      <c r="K71" s="7">
        <f t="shared" si="12"/>
        <v>1</v>
      </c>
      <c r="L71" s="7">
        <f t="shared" si="12"/>
        <v>1</v>
      </c>
      <c r="M71" s="7">
        <f t="shared" si="12"/>
        <v>2</v>
      </c>
      <c r="N71" s="7">
        <f t="shared" si="17"/>
        <v>0</v>
      </c>
      <c r="O71" s="7">
        <f t="shared" si="14"/>
        <v>1</v>
      </c>
      <c r="P71" s="7">
        <f t="shared" si="14"/>
        <v>3</v>
      </c>
      <c r="AD71" s="11">
        <f t="shared" si="19"/>
        <v>2.3978952727983707</v>
      </c>
      <c r="AJ71" s="11">
        <f t="shared" si="20"/>
        <v>15.954999999999998</v>
      </c>
      <c r="AK71" s="13">
        <f t="shared" si="21"/>
        <v>24.552024999999983</v>
      </c>
      <c r="AN71" s="13">
        <f t="shared" si="22"/>
        <v>14.495238095238095</v>
      </c>
      <c r="AO71" s="13">
        <f t="shared" si="23"/>
        <v>12.216689342403628</v>
      </c>
      <c r="AR71" s="7">
        <f t="shared" si="24"/>
        <v>11</v>
      </c>
    </row>
    <row r="72" spans="1:44" x14ac:dyDescent="0.2">
      <c r="A72" s="7">
        <f t="shared" si="15"/>
        <v>2015</v>
      </c>
      <c r="B72" s="7">
        <f t="shared" si="16"/>
        <v>10</v>
      </c>
      <c r="C72" s="7" t="str">
        <f t="shared" si="18"/>
        <v>2015-10</v>
      </c>
      <c r="D72" s="7">
        <f>COUNTIFS(Sheet1!G:G,Sheet3!A72,Sheet1!F:F,Sheet3!B72)</f>
        <v>70</v>
      </c>
      <c r="E72" s="7">
        <f t="shared" si="25"/>
        <v>11</v>
      </c>
      <c r="F72" s="7">
        <f t="shared" si="25"/>
        <v>46</v>
      </c>
      <c r="G72" s="7">
        <f t="shared" si="25"/>
        <v>36</v>
      </c>
      <c r="H72" s="7">
        <f t="shared" si="25"/>
        <v>4</v>
      </c>
      <c r="I72" s="7">
        <f t="shared" si="13"/>
        <v>0</v>
      </c>
      <c r="J72" s="7">
        <f t="shared" si="12"/>
        <v>3</v>
      </c>
      <c r="K72" s="7">
        <f t="shared" si="12"/>
        <v>1</v>
      </c>
      <c r="L72" s="7">
        <f t="shared" si="12"/>
        <v>1</v>
      </c>
      <c r="M72" s="7">
        <f t="shared" si="12"/>
        <v>1</v>
      </c>
      <c r="N72" s="7">
        <f t="shared" si="17"/>
        <v>2</v>
      </c>
      <c r="O72" s="7">
        <f t="shared" si="14"/>
        <v>0</v>
      </c>
      <c r="P72" s="7">
        <f t="shared" si="14"/>
        <v>1</v>
      </c>
      <c r="AD72" s="11">
        <f t="shared" si="19"/>
        <v>4.2484952420493594</v>
      </c>
      <c r="AJ72" s="11">
        <f t="shared" si="20"/>
        <v>16.2226</v>
      </c>
      <c r="AK72" s="13">
        <f t="shared" si="21"/>
        <v>2892.0087507600001</v>
      </c>
      <c r="AN72" s="13">
        <f t="shared" si="22"/>
        <v>14.495238095238095</v>
      </c>
      <c r="AO72" s="13">
        <f t="shared" si="23"/>
        <v>3080.7785941043085</v>
      </c>
      <c r="AR72" s="7">
        <f t="shared" si="24"/>
        <v>70</v>
      </c>
    </row>
    <row r="73" spans="1:44" x14ac:dyDescent="0.2">
      <c r="A73" s="7">
        <f t="shared" si="15"/>
        <v>2015</v>
      </c>
      <c r="B73" s="7">
        <f t="shared" si="16"/>
        <v>11</v>
      </c>
      <c r="C73" s="7" t="str">
        <f t="shared" si="18"/>
        <v>2015-11</v>
      </c>
      <c r="D73" s="7">
        <f>COUNTIFS(Sheet1!G:G,Sheet3!A73,Sheet1!F:F,Sheet3!B73)</f>
        <v>54</v>
      </c>
      <c r="E73" s="7">
        <f t="shared" si="25"/>
        <v>70</v>
      </c>
      <c r="F73" s="7">
        <f t="shared" si="25"/>
        <v>11</v>
      </c>
      <c r="G73" s="7">
        <f t="shared" si="25"/>
        <v>46</v>
      </c>
      <c r="H73" s="7">
        <f t="shared" si="25"/>
        <v>36</v>
      </c>
      <c r="I73" s="7">
        <f t="shared" si="13"/>
        <v>4</v>
      </c>
      <c r="J73" s="7">
        <f t="shared" si="13"/>
        <v>0</v>
      </c>
      <c r="K73" s="7">
        <f t="shared" si="13"/>
        <v>3</v>
      </c>
      <c r="L73" s="7">
        <f t="shared" si="13"/>
        <v>1</v>
      </c>
      <c r="M73" s="7">
        <f t="shared" si="13"/>
        <v>1</v>
      </c>
      <c r="N73" s="7">
        <f t="shared" si="17"/>
        <v>1</v>
      </c>
      <c r="O73" s="7">
        <f t="shared" si="14"/>
        <v>2</v>
      </c>
      <c r="P73" s="7">
        <f t="shared" si="14"/>
        <v>0</v>
      </c>
      <c r="AD73" s="11">
        <f t="shared" si="19"/>
        <v>3.9889840465642745</v>
      </c>
      <c r="AJ73" s="11">
        <f t="shared" si="20"/>
        <v>16.490199999999998</v>
      </c>
      <c r="AK73" s="13">
        <f t="shared" si="21"/>
        <v>1406.9850960399999</v>
      </c>
      <c r="AN73" s="13">
        <f t="shared" si="22"/>
        <v>14.495238095238095</v>
      </c>
      <c r="AO73" s="13">
        <f t="shared" si="23"/>
        <v>1560.6262131519277</v>
      </c>
      <c r="AR73" s="7">
        <f t="shared" si="24"/>
        <v>54</v>
      </c>
    </row>
    <row r="74" spans="1:44" x14ac:dyDescent="0.2">
      <c r="A74" s="7">
        <f t="shared" si="15"/>
        <v>2015</v>
      </c>
      <c r="B74" s="7">
        <f t="shared" si="16"/>
        <v>12</v>
      </c>
      <c r="C74" s="7" t="str">
        <f t="shared" si="18"/>
        <v>2015-12</v>
      </c>
      <c r="D74" s="7">
        <f>COUNTIFS(Sheet1!G:G,Sheet3!A74,Sheet1!F:F,Sheet3!B74)</f>
        <v>15</v>
      </c>
      <c r="E74" s="7">
        <f t="shared" si="25"/>
        <v>54</v>
      </c>
      <c r="F74" s="7">
        <f t="shared" si="25"/>
        <v>70</v>
      </c>
      <c r="G74" s="7">
        <f t="shared" si="25"/>
        <v>11</v>
      </c>
      <c r="H74" s="7">
        <f t="shared" si="25"/>
        <v>46</v>
      </c>
      <c r="I74" s="7">
        <f t="shared" si="13"/>
        <v>36</v>
      </c>
      <c r="J74" s="7">
        <f t="shared" si="13"/>
        <v>4</v>
      </c>
      <c r="K74" s="7">
        <f t="shared" si="13"/>
        <v>0</v>
      </c>
      <c r="L74" s="7">
        <f t="shared" si="13"/>
        <v>3</v>
      </c>
      <c r="M74" s="7">
        <f t="shared" si="13"/>
        <v>1</v>
      </c>
      <c r="N74" s="7">
        <f t="shared" si="17"/>
        <v>1</v>
      </c>
      <c r="O74" s="7">
        <f t="shared" si="14"/>
        <v>1</v>
      </c>
      <c r="P74" s="7">
        <f t="shared" si="14"/>
        <v>2</v>
      </c>
      <c r="AD74" s="11">
        <f t="shared" si="19"/>
        <v>2.7080502011022101</v>
      </c>
      <c r="AJ74" s="11">
        <f t="shared" si="20"/>
        <v>16.7578</v>
      </c>
      <c r="AK74" s="13">
        <f t="shared" si="21"/>
        <v>3.0898608399999987</v>
      </c>
      <c r="AN74" s="13">
        <f t="shared" si="22"/>
        <v>14.495238095238095</v>
      </c>
      <c r="AO74" s="13">
        <f t="shared" si="23"/>
        <v>0.25478458049886621</v>
      </c>
      <c r="AR74" s="7">
        <f t="shared" si="24"/>
        <v>15</v>
      </c>
    </row>
    <row r="75" spans="1:44" x14ac:dyDescent="0.2">
      <c r="A75" s="7">
        <f t="shared" si="15"/>
        <v>2016</v>
      </c>
      <c r="B75" s="7">
        <f t="shared" si="16"/>
        <v>1</v>
      </c>
      <c r="C75" s="7" t="str">
        <f t="shared" si="18"/>
        <v>2016-1</v>
      </c>
      <c r="D75" s="7">
        <f>COUNTIFS(Sheet1!G:G,Sheet3!A75,Sheet1!F:F,Sheet3!B75)</f>
        <v>16</v>
      </c>
      <c r="E75" s="7">
        <f t="shared" si="25"/>
        <v>15</v>
      </c>
      <c r="F75" s="7">
        <f t="shared" si="25"/>
        <v>54</v>
      </c>
      <c r="G75" s="7">
        <f t="shared" si="25"/>
        <v>70</v>
      </c>
      <c r="H75" s="7">
        <f t="shared" si="25"/>
        <v>11</v>
      </c>
      <c r="I75" s="7">
        <f t="shared" si="13"/>
        <v>46</v>
      </c>
      <c r="J75" s="7">
        <f t="shared" si="13"/>
        <v>36</v>
      </c>
      <c r="K75" s="7">
        <f t="shared" si="13"/>
        <v>4</v>
      </c>
      <c r="L75" s="7">
        <f t="shared" si="13"/>
        <v>0</v>
      </c>
      <c r="M75" s="7">
        <f t="shared" si="13"/>
        <v>3</v>
      </c>
      <c r="N75" s="7">
        <f t="shared" si="17"/>
        <v>1</v>
      </c>
      <c r="O75" s="7">
        <f t="shared" si="14"/>
        <v>1</v>
      </c>
      <c r="P75" s="7">
        <f t="shared" si="14"/>
        <v>1</v>
      </c>
      <c r="AD75" s="11">
        <f t="shared" si="19"/>
        <v>2.7725887222397811</v>
      </c>
      <c r="AJ75" s="11">
        <f t="shared" si="20"/>
        <v>17.025399999999998</v>
      </c>
      <c r="AK75" s="13">
        <f t="shared" si="21"/>
        <v>1.0514451599999952</v>
      </c>
      <c r="AN75" s="13">
        <f t="shared" si="22"/>
        <v>14.495238095238095</v>
      </c>
      <c r="AO75" s="13">
        <f t="shared" si="23"/>
        <v>2.2643083900226757</v>
      </c>
      <c r="AR75" s="7">
        <f t="shared" si="24"/>
        <v>16</v>
      </c>
    </row>
    <row r="76" spans="1:44" x14ac:dyDescent="0.2">
      <c r="A76" s="7">
        <f t="shared" si="15"/>
        <v>2016</v>
      </c>
      <c r="B76" s="7">
        <f t="shared" si="16"/>
        <v>2</v>
      </c>
      <c r="C76" s="7" t="str">
        <f t="shared" si="18"/>
        <v>2016-2</v>
      </c>
      <c r="D76" s="7">
        <f>COUNTIFS(Sheet1!G:G,Sheet3!A76,Sheet1!F:F,Sheet3!B76)</f>
        <v>25</v>
      </c>
      <c r="E76" s="7">
        <f t="shared" si="25"/>
        <v>16</v>
      </c>
      <c r="F76" s="7">
        <f t="shared" si="25"/>
        <v>15</v>
      </c>
      <c r="G76" s="7">
        <f t="shared" si="25"/>
        <v>54</v>
      </c>
      <c r="H76" s="7">
        <f t="shared" si="25"/>
        <v>70</v>
      </c>
      <c r="I76" s="7">
        <f t="shared" si="13"/>
        <v>11</v>
      </c>
      <c r="J76" s="7">
        <f t="shared" si="13"/>
        <v>46</v>
      </c>
      <c r="K76" s="7">
        <f t="shared" si="13"/>
        <v>36</v>
      </c>
      <c r="L76" s="7">
        <f t="shared" si="13"/>
        <v>4</v>
      </c>
      <c r="M76" s="7">
        <f t="shared" si="13"/>
        <v>0</v>
      </c>
      <c r="N76" s="7">
        <f t="shared" si="17"/>
        <v>3</v>
      </c>
      <c r="O76" s="7">
        <f t="shared" si="14"/>
        <v>1</v>
      </c>
      <c r="P76" s="7">
        <f t="shared" si="14"/>
        <v>1</v>
      </c>
      <c r="AD76" s="11">
        <f t="shared" si="19"/>
        <v>3.2188758248682006</v>
      </c>
      <c r="AJ76" s="11">
        <f t="shared" si="20"/>
        <v>17.292999999999999</v>
      </c>
      <c r="AK76" s="13">
        <f t="shared" si="21"/>
        <v>59.397849000000008</v>
      </c>
      <c r="AN76" s="13">
        <f t="shared" si="22"/>
        <v>14.495238095238095</v>
      </c>
      <c r="AO76" s="13">
        <f t="shared" si="23"/>
        <v>110.35002267573697</v>
      </c>
      <c r="AR76" s="7">
        <f t="shared" si="24"/>
        <v>25</v>
      </c>
    </row>
    <row r="77" spans="1:44" x14ac:dyDescent="0.2">
      <c r="A77" s="7">
        <f t="shared" si="15"/>
        <v>2016</v>
      </c>
      <c r="B77" s="7">
        <f t="shared" si="16"/>
        <v>3</v>
      </c>
      <c r="C77" s="7" t="str">
        <f t="shared" si="18"/>
        <v>2016-3</v>
      </c>
      <c r="D77" s="7">
        <f>COUNTIFS(Sheet1!G:G,Sheet3!A77,Sheet1!F:F,Sheet3!B77)</f>
        <v>13</v>
      </c>
      <c r="E77" s="7">
        <f t="shared" si="25"/>
        <v>25</v>
      </c>
      <c r="F77" s="7">
        <f t="shared" si="25"/>
        <v>16</v>
      </c>
      <c r="G77" s="7">
        <f t="shared" si="25"/>
        <v>15</v>
      </c>
      <c r="H77" s="7">
        <f t="shared" si="25"/>
        <v>54</v>
      </c>
      <c r="I77" s="7">
        <f t="shared" si="25"/>
        <v>70</v>
      </c>
      <c r="J77" s="7">
        <f t="shared" si="25"/>
        <v>11</v>
      </c>
      <c r="K77" s="7">
        <f t="shared" ref="K77:P118" si="26">J76</f>
        <v>46</v>
      </c>
      <c r="L77" s="7">
        <f t="shared" si="26"/>
        <v>36</v>
      </c>
      <c r="M77" s="7">
        <f t="shared" si="26"/>
        <v>4</v>
      </c>
      <c r="N77" s="7">
        <f t="shared" si="17"/>
        <v>0</v>
      </c>
      <c r="O77" s="7">
        <f t="shared" si="14"/>
        <v>3</v>
      </c>
      <c r="P77" s="7">
        <f t="shared" si="14"/>
        <v>1</v>
      </c>
      <c r="AD77" s="11">
        <f t="shared" si="19"/>
        <v>2.5649493574615367</v>
      </c>
      <c r="AJ77" s="11">
        <f t="shared" si="20"/>
        <v>17.560600000000001</v>
      </c>
      <c r="AK77" s="13">
        <f t="shared" si="21"/>
        <v>20.799072360000007</v>
      </c>
      <c r="AN77" s="13">
        <f t="shared" si="22"/>
        <v>14.495238095238095</v>
      </c>
      <c r="AO77" s="13">
        <f t="shared" si="23"/>
        <v>2.2357369614512472</v>
      </c>
      <c r="AR77" s="7">
        <f t="shared" si="24"/>
        <v>13</v>
      </c>
    </row>
    <row r="78" spans="1:44" x14ac:dyDescent="0.2">
      <c r="A78" s="7">
        <f t="shared" si="15"/>
        <v>2016</v>
      </c>
      <c r="B78" s="7">
        <f t="shared" si="16"/>
        <v>4</v>
      </c>
      <c r="C78" s="7" t="str">
        <f t="shared" si="18"/>
        <v>2016-4</v>
      </c>
      <c r="D78" s="7">
        <f>COUNTIFS(Sheet1!G:G,Sheet3!A78,Sheet1!F:F,Sheet3!B78)</f>
        <v>9</v>
      </c>
      <c r="E78" s="7">
        <f t="shared" si="25"/>
        <v>13</v>
      </c>
      <c r="F78" s="7">
        <f t="shared" si="25"/>
        <v>25</v>
      </c>
      <c r="G78" s="7">
        <f t="shared" si="25"/>
        <v>16</v>
      </c>
      <c r="H78" s="7">
        <f t="shared" si="25"/>
        <v>15</v>
      </c>
      <c r="I78" s="7">
        <f t="shared" si="25"/>
        <v>54</v>
      </c>
      <c r="J78" s="7">
        <f t="shared" si="25"/>
        <v>70</v>
      </c>
      <c r="K78" s="7">
        <f t="shared" si="26"/>
        <v>11</v>
      </c>
      <c r="L78" s="7">
        <f t="shared" si="26"/>
        <v>46</v>
      </c>
      <c r="M78" s="7">
        <f t="shared" si="26"/>
        <v>36</v>
      </c>
      <c r="N78" s="7">
        <f t="shared" si="17"/>
        <v>4</v>
      </c>
      <c r="O78" s="7">
        <f t="shared" si="17"/>
        <v>0</v>
      </c>
      <c r="P78" s="7">
        <f t="shared" si="17"/>
        <v>3</v>
      </c>
      <c r="AD78" s="11">
        <f t="shared" si="19"/>
        <v>2.1972245773362196</v>
      </c>
      <c r="AJ78" s="11">
        <f t="shared" si="20"/>
        <v>17.828199999999999</v>
      </c>
      <c r="AK78" s="13">
        <f t="shared" si="21"/>
        <v>77.937115239999983</v>
      </c>
      <c r="AN78" s="13">
        <f t="shared" si="22"/>
        <v>14.495238095238095</v>
      </c>
      <c r="AO78" s="13">
        <f t="shared" si="23"/>
        <v>30.197641723356011</v>
      </c>
      <c r="AR78" s="7">
        <f t="shared" si="24"/>
        <v>9</v>
      </c>
    </row>
    <row r="79" spans="1:44" x14ac:dyDescent="0.2">
      <c r="A79" s="7">
        <f t="shared" si="15"/>
        <v>2016</v>
      </c>
      <c r="B79" s="7">
        <f t="shared" si="16"/>
        <v>5</v>
      </c>
      <c r="C79" s="7" t="str">
        <f t="shared" si="18"/>
        <v>2016-5</v>
      </c>
      <c r="D79" s="7">
        <f>COUNTIFS(Sheet1!G:G,Sheet3!A79,Sheet1!F:F,Sheet3!B79)</f>
        <v>12</v>
      </c>
      <c r="E79" s="7">
        <f t="shared" si="25"/>
        <v>9</v>
      </c>
      <c r="F79" s="7">
        <f t="shared" si="25"/>
        <v>13</v>
      </c>
      <c r="G79" s="7">
        <f t="shared" si="25"/>
        <v>25</v>
      </c>
      <c r="H79" s="7">
        <f t="shared" si="25"/>
        <v>16</v>
      </c>
      <c r="I79" s="7">
        <f t="shared" si="25"/>
        <v>15</v>
      </c>
      <c r="J79" s="7">
        <f t="shared" si="25"/>
        <v>54</v>
      </c>
      <c r="K79" s="7">
        <f t="shared" si="26"/>
        <v>70</v>
      </c>
      <c r="L79" s="7">
        <f t="shared" si="26"/>
        <v>11</v>
      </c>
      <c r="M79" s="7">
        <f t="shared" si="26"/>
        <v>46</v>
      </c>
      <c r="N79" s="7">
        <f t="shared" si="17"/>
        <v>36</v>
      </c>
      <c r="O79" s="7">
        <f t="shared" si="17"/>
        <v>4</v>
      </c>
      <c r="P79" s="7">
        <f t="shared" si="17"/>
        <v>0</v>
      </c>
      <c r="AD79" s="11">
        <f t="shared" si="19"/>
        <v>2.4849066497880004</v>
      </c>
      <c r="AJ79" s="11">
        <f t="shared" si="20"/>
        <v>18.095800000000001</v>
      </c>
      <c r="AK79" s="13">
        <f t="shared" si="21"/>
        <v>37.158777640000004</v>
      </c>
      <c r="AN79" s="13">
        <f t="shared" si="22"/>
        <v>14.495238095238095</v>
      </c>
      <c r="AO79" s="13">
        <f t="shared" si="23"/>
        <v>6.2262131519274373</v>
      </c>
      <c r="AR79" s="7">
        <f t="shared" si="24"/>
        <v>12</v>
      </c>
    </row>
    <row r="80" spans="1:44" x14ac:dyDescent="0.2">
      <c r="A80" s="7">
        <f t="shared" ref="A80:A118" si="27">A68+1</f>
        <v>2016</v>
      </c>
      <c r="B80" s="7">
        <f t="shared" ref="B80:B118" si="28">B68</f>
        <v>6</v>
      </c>
      <c r="C80" s="7" t="str">
        <f t="shared" si="18"/>
        <v>2016-6</v>
      </c>
      <c r="D80" s="7">
        <f>COUNTIFS(Sheet1!G:G,Sheet3!A80,Sheet1!F:F,Sheet3!B80)</f>
        <v>7</v>
      </c>
      <c r="E80" s="7">
        <f t="shared" si="25"/>
        <v>12</v>
      </c>
      <c r="F80" s="7">
        <f t="shared" si="25"/>
        <v>9</v>
      </c>
      <c r="G80" s="7">
        <f t="shared" si="25"/>
        <v>13</v>
      </c>
      <c r="H80" s="7">
        <f t="shared" si="25"/>
        <v>25</v>
      </c>
      <c r="I80" s="7">
        <f t="shared" si="25"/>
        <v>16</v>
      </c>
      <c r="J80" s="7">
        <f t="shared" si="25"/>
        <v>15</v>
      </c>
      <c r="K80" s="7">
        <f t="shared" si="26"/>
        <v>54</v>
      </c>
      <c r="L80" s="7">
        <f t="shared" si="26"/>
        <v>70</v>
      </c>
      <c r="M80" s="7">
        <f t="shared" si="26"/>
        <v>11</v>
      </c>
      <c r="N80" s="7">
        <f t="shared" si="17"/>
        <v>46</v>
      </c>
      <c r="O80" s="7">
        <f t="shared" si="17"/>
        <v>36</v>
      </c>
      <c r="P80" s="7">
        <f t="shared" si="17"/>
        <v>4</v>
      </c>
      <c r="AD80" s="11">
        <f t="shared" si="19"/>
        <v>1.9459101490553132</v>
      </c>
      <c r="AJ80" s="11">
        <f t="shared" si="20"/>
        <v>18.363399999999999</v>
      </c>
      <c r="AK80" s="13">
        <f t="shared" si="21"/>
        <v>129.12685955999996</v>
      </c>
      <c r="AN80" s="13">
        <f t="shared" si="22"/>
        <v>14.495238095238095</v>
      </c>
      <c r="AO80" s="13">
        <f t="shared" si="23"/>
        <v>56.178594104308388</v>
      </c>
      <c r="AR80" s="7">
        <f t="shared" si="24"/>
        <v>7</v>
      </c>
    </row>
    <row r="81" spans="1:44" x14ac:dyDescent="0.2">
      <c r="A81" s="7">
        <f t="shared" si="27"/>
        <v>2016</v>
      </c>
      <c r="B81" s="7">
        <f t="shared" si="28"/>
        <v>7</v>
      </c>
      <c r="C81" s="7" t="str">
        <f t="shared" si="18"/>
        <v>2016-7</v>
      </c>
      <c r="D81" s="7">
        <f>COUNTIFS(Sheet1!G:G,Sheet3!A81,Sheet1!F:F,Sheet3!B81)</f>
        <v>10</v>
      </c>
      <c r="E81" s="7">
        <f t="shared" si="25"/>
        <v>7</v>
      </c>
      <c r="F81" s="7">
        <f t="shared" si="25"/>
        <v>12</v>
      </c>
      <c r="G81" s="7">
        <f t="shared" si="25"/>
        <v>9</v>
      </c>
      <c r="H81" s="7">
        <f t="shared" si="25"/>
        <v>13</v>
      </c>
      <c r="I81" s="7">
        <f t="shared" si="25"/>
        <v>25</v>
      </c>
      <c r="J81" s="7">
        <f t="shared" si="25"/>
        <v>16</v>
      </c>
      <c r="K81" s="7">
        <f t="shared" si="26"/>
        <v>15</v>
      </c>
      <c r="L81" s="7">
        <f t="shared" si="26"/>
        <v>54</v>
      </c>
      <c r="M81" s="7">
        <f t="shared" si="26"/>
        <v>70</v>
      </c>
      <c r="N81" s="7">
        <f t="shared" si="17"/>
        <v>11</v>
      </c>
      <c r="O81" s="7">
        <f t="shared" si="17"/>
        <v>46</v>
      </c>
      <c r="P81" s="7">
        <f t="shared" si="17"/>
        <v>36</v>
      </c>
      <c r="AD81" s="11">
        <f t="shared" si="19"/>
        <v>2.3025850929940459</v>
      </c>
      <c r="AJ81" s="11">
        <f t="shared" si="20"/>
        <v>18.631</v>
      </c>
      <c r="AK81" s="13">
        <f t="shared" si="21"/>
        <v>74.494161000000005</v>
      </c>
      <c r="AN81" s="13">
        <f t="shared" si="22"/>
        <v>14.495238095238095</v>
      </c>
      <c r="AO81" s="13">
        <f t="shared" si="23"/>
        <v>20.20716553287982</v>
      </c>
      <c r="AR81" s="7">
        <f t="shared" si="24"/>
        <v>10</v>
      </c>
    </row>
    <row r="82" spans="1:44" x14ac:dyDescent="0.2">
      <c r="A82" s="7">
        <f t="shared" si="27"/>
        <v>2016</v>
      </c>
      <c r="B82" s="7">
        <f t="shared" si="28"/>
        <v>8</v>
      </c>
      <c r="C82" s="7" t="str">
        <f t="shared" si="18"/>
        <v>2016-8</v>
      </c>
      <c r="D82" s="7">
        <f>COUNTIFS(Sheet1!G:G,Sheet3!A82,Sheet1!F:F,Sheet3!B82)</f>
        <v>7</v>
      </c>
      <c r="E82" s="7">
        <f t="shared" si="25"/>
        <v>10</v>
      </c>
      <c r="F82" s="7">
        <f t="shared" si="25"/>
        <v>7</v>
      </c>
      <c r="G82" s="7">
        <f t="shared" si="25"/>
        <v>12</v>
      </c>
      <c r="H82" s="7">
        <f t="shared" si="25"/>
        <v>9</v>
      </c>
      <c r="I82" s="7">
        <f t="shared" si="25"/>
        <v>13</v>
      </c>
      <c r="J82" s="7">
        <f t="shared" si="25"/>
        <v>25</v>
      </c>
      <c r="K82" s="7">
        <f t="shared" si="26"/>
        <v>16</v>
      </c>
      <c r="L82" s="7">
        <f t="shared" si="26"/>
        <v>15</v>
      </c>
      <c r="M82" s="7">
        <f t="shared" si="26"/>
        <v>54</v>
      </c>
      <c r="N82" s="7">
        <f t="shared" si="26"/>
        <v>70</v>
      </c>
      <c r="O82" s="7">
        <f t="shared" si="26"/>
        <v>11</v>
      </c>
      <c r="P82" s="7">
        <f t="shared" si="26"/>
        <v>46</v>
      </c>
      <c r="AD82" s="11">
        <f t="shared" si="19"/>
        <v>1.9459101490553132</v>
      </c>
      <c r="AJ82" s="11">
        <f t="shared" si="20"/>
        <v>18.898599999999998</v>
      </c>
      <c r="AK82" s="13">
        <f t="shared" si="21"/>
        <v>141.57668195999995</v>
      </c>
      <c r="AN82" s="13">
        <f t="shared" si="22"/>
        <v>14.495238095238095</v>
      </c>
      <c r="AO82" s="13">
        <f t="shared" si="23"/>
        <v>56.178594104308388</v>
      </c>
      <c r="AR82" s="7">
        <f t="shared" si="24"/>
        <v>7</v>
      </c>
    </row>
    <row r="83" spans="1:44" x14ac:dyDescent="0.2">
      <c r="A83" s="7">
        <f t="shared" si="27"/>
        <v>2016</v>
      </c>
      <c r="B83" s="7">
        <f t="shared" si="28"/>
        <v>9</v>
      </c>
      <c r="C83" s="7" t="str">
        <f t="shared" si="18"/>
        <v>2016-9</v>
      </c>
      <c r="D83" s="7">
        <f>COUNTIFS(Sheet1!G:G,Sheet3!A83,Sheet1!F:F,Sheet3!B83)</f>
        <v>7</v>
      </c>
      <c r="E83" s="7">
        <f t="shared" si="25"/>
        <v>7</v>
      </c>
      <c r="F83" s="7">
        <f t="shared" si="25"/>
        <v>10</v>
      </c>
      <c r="G83" s="7">
        <f t="shared" si="25"/>
        <v>7</v>
      </c>
      <c r="H83" s="7">
        <f t="shared" si="25"/>
        <v>12</v>
      </c>
      <c r="I83" s="7">
        <f t="shared" si="25"/>
        <v>9</v>
      </c>
      <c r="J83" s="7">
        <f t="shared" si="25"/>
        <v>13</v>
      </c>
      <c r="K83" s="7">
        <f t="shared" si="26"/>
        <v>25</v>
      </c>
      <c r="L83" s="7">
        <f t="shared" si="26"/>
        <v>16</v>
      </c>
      <c r="M83" s="7">
        <f t="shared" si="26"/>
        <v>15</v>
      </c>
      <c r="N83" s="7">
        <f t="shared" si="26"/>
        <v>54</v>
      </c>
      <c r="O83" s="7">
        <f t="shared" si="26"/>
        <v>70</v>
      </c>
      <c r="P83" s="7">
        <f t="shared" si="26"/>
        <v>11</v>
      </c>
      <c r="AD83" s="11">
        <f t="shared" si="19"/>
        <v>1.9459101490553132</v>
      </c>
      <c r="AJ83" s="11">
        <f t="shared" si="20"/>
        <v>19.1662</v>
      </c>
      <c r="AK83" s="13">
        <f t="shared" si="21"/>
        <v>148.01642243999999</v>
      </c>
      <c r="AN83" s="13">
        <f t="shared" si="22"/>
        <v>14.495238095238095</v>
      </c>
      <c r="AO83" s="13">
        <f t="shared" si="23"/>
        <v>56.178594104308388</v>
      </c>
      <c r="AR83" s="7">
        <f t="shared" si="24"/>
        <v>7</v>
      </c>
    </row>
    <row r="84" spans="1:44" x14ac:dyDescent="0.2">
      <c r="A84" s="7">
        <f t="shared" si="27"/>
        <v>2016</v>
      </c>
      <c r="B84" s="7">
        <f t="shared" si="28"/>
        <v>10</v>
      </c>
      <c r="C84" s="7" t="str">
        <f t="shared" si="18"/>
        <v>2016-10</v>
      </c>
      <c r="D84" s="7">
        <f>COUNTIFS(Sheet1!G:G,Sheet3!A84,Sheet1!F:F,Sheet3!B84)</f>
        <v>20</v>
      </c>
      <c r="E84" s="7">
        <f t="shared" si="25"/>
        <v>7</v>
      </c>
      <c r="F84" s="7">
        <f t="shared" si="25"/>
        <v>7</v>
      </c>
      <c r="G84" s="7">
        <f t="shared" si="25"/>
        <v>10</v>
      </c>
      <c r="H84" s="7">
        <f t="shared" si="25"/>
        <v>7</v>
      </c>
      <c r="I84" s="7">
        <f t="shared" si="25"/>
        <v>12</v>
      </c>
      <c r="J84" s="7">
        <f t="shared" si="25"/>
        <v>9</v>
      </c>
      <c r="K84" s="7">
        <f t="shared" si="26"/>
        <v>13</v>
      </c>
      <c r="L84" s="7">
        <f t="shared" si="26"/>
        <v>25</v>
      </c>
      <c r="M84" s="7">
        <f t="shared" si="26"/>
        <v>16</v>
      </c>
      <c r="N84" s="7">
        <f t="shared" si="26"/>
        <v>15</v>
      </c>
      <c r="O84" s="7">
        <f t="shared" si="26"/>
        <v>54</v>
      </c>
      <c r="P84" s="7">
        <f t="shared" si="26"/>
        <v>70</v>
      </c>
      <c r="AD84" s="11">
        <f t="shared" si="19"/>
        <v>2.9957322735539909</v>
      </c>
      <c r="AJ84" s="11">
        <f t="shared" si="20"/>
        <v>19.433799999999998</v>
      </c>
      <c r="AK84" s="13">
        <f t="shared" si="21"/>
        <v>0.3205824400000023</v>
      </c>
      <c r="AN84" s="13">
        <f t="shared" si="22"/>
        <v>14.495238095238095</v>
      </c>
      <c r="AO84" s="13">
        <f t="shared" si="23"/>
        <v>30.302403628117915</v>
      </c>
      <c r="AR84" s="7">
        <f t="shared" si="24"/>
        <v>20</v>
      </c>
    </row>
    <row r="85" spans="1:44" x14ac:dyDescent="0.2">
      <c r="A85" s="7">
        <f t="shared" si="27"/>
        <v>2016</v>
      </c>
      <c r="B85" s="7">
        <f t="shared" si="28"/>
        <v>11</v>
      </c>
      <c r="C85" s="7" t="str">
        <f t="shared" si="18"/>
        <v>2016-11</v>
      </c>
      <c r="D85" s="7">
        <f>COUNTIFS(Sheet1!G:G,Sheet3!A85,Sheet1!F:F,Sheet3!B85)</f>
        <v>15</v>
      </c>
      <c r="E85" s="7">
        <f t="shared" si="25"/>
        <v>20</v>
      </c>
      <c r="F85" s="7">
        <f t="shared" si="25"/>
        <v>7</v>
      </c>
      <c r="G85" s="7">
        <f t="shared" si="25"/>
        <v>7</v>
      </c>
      <c r="H85" s="7">
        <f t="shared" si="25"/>
        <v>10</v>
      </c>
      <c r="I85" s="7">
        <f t="shared" si="25"/>
        <v>7</v>
      </c>
      <c r="J85" s="7">
        <f t="shared" si="25"/>
        <v>12</v>
      </c>
      <c r="K85" s="7">
        <f t="shared" si="26"/>
        <v>9</v>
      </c>
      <c r="L85" s="7">
        <f t="shared" si="26"/>
        <v>13</v>
      </c>
      <c r="M85" s="7">
        <f t="shared" si="26"/>
        <v>25</v>
      </c>
      <c r="N85" s="7">
        <f t="shared" si="26"/>
        <v>16</v>
      </c>
      <c r="O85" s="7">
        <f t="shared" si="26"/>
        <v>15</v>
      </c>
      <c r="P85" s="7">
        <f t="shared" si="26"/>
        <v>54</v>
      </c>
      <c r="AD85" s="11">
        <f t="shared" si="19"/>
        <v>2.7080502011022101</v>
      </c>
      <c r="AJ85" s="11">
        <f t="shared" si="20"/>
        <v>19.7014</v>
      </c>
      <c r="AK85" s="13">
        <f t="shared" si="21"/>
        <v>22.103161959999998</v>
      </c>
      <c r="AN85" s="13">
        <f t="shared" si="22"/>
        <v>14.495238095238095</v>
      </c>
      <c r="AO85" s="13">
        <f t="shared" si="23"/>
        <v>0.25478458049886621</v>
      </c>
      <c r="AR85" s="7">
        <f t="shared" si="24"/>
        <v>15</v>
      </c>
    </row>
    <row r="86" spans="1:44" x14ac:dyDescent="0.2">
      <c r="A86" s="7">
        <f t="shared" si="27"/>
        <v>2016</v>
      </c>
      <c r="B86" s="7">
        <f t="shared" si="28"/>
        <v>12</v>
      </c>
      <c r="C86" s="7" t="str">
        <f t="shared" si="18"/>
        <v>2016-12</v>
      </c>
      <c r="D86" s="7">
        <f>COUNTIFS(Sheet1!G:G,Sheet3!A86,Sheet1!F:F,Sheet3!B86)</f>
        <v>9</v>
      </c>
      <c r="E86" s="7">
        <f t="shared" si="25"/>
        <v>15</v>
      </c>
      <c r="F86" s="7">
        <f t="shared" si="25"/>
        <v>20</v>
      </c>
      <c r="G86" s="7">
        <f t="shared" si="25"/>
        <v>7</v>
      </c>
      <c r="H86" s="7">
        <f t="shared" si="25"/>
        <v>7</v>
      </c>
      <c r="I86" s="7">
        <f t="shared" si="25"/>
        <v>10</v>
      </c>
      <c r="J86" s="7">
        <f t="shared" ref="J86:J118" si="29">I85</f>
        <v>7</v>
      </c>
      <c r="K86" s="7">
        <f t="shared" si="26"/>
        <v>12</v>
      </c>
      <c r="L86" s="7">
        <f t="shared" si="26"/>
        <v>9</v>
      </c>
      <c r="M86" s="7">
        <f t="shared" si="26"/>
        <v>13</v>
      </c>
      <c r="N86" s="7">
        <f t="shared" si="26"/>
        <v>25</v>
      </c>
      <c r="O86" s="7">
        <f t="shared" si="26"/>
        <v>16</v>
      </c>
      <c r="P86" s="7">
        <f t="shared" si="26"/>
        <v>15</v>
      </c>
      <c r="AD86" s="11">
        <f t="shared" si="19"/>
        <v>2.1972245773362196</v>
      </c>
      <c r="AJ86" s="11">
        <f t="shared" si="20"/>
        <v>19.968999999999998</v>
      </c>
      <c r="AK86" s="13">
        <f t="shared" si="21"/>
        <v>120.31896099999994</v>
      </c>
      <c r="AN86" s="13">
        <f t="shared" si="22"/>
        <v>14.495238095238095</v>
      </c>
      <c r="AO86" s="13">
        <f t="shared" si="23"/>
        <v>30.197641723356011</v>
      </c>
      <c r="AR86" s="7">
        <f t="shared" si="24"/>
        <v>9</v>
      </c>
    </row>
    <row r="87" spans="1:44" x14ac:dyDescent="0.2">
      <c r="A87" s="7">
        <f t="shared" si="27"/>
        <v>2017</v>
      </c>
      <c r="B87" s="7">
        <f t="shared" si="28"/>
        <v>1</v>
      </c>
      <c r="C87" s="7" t="str">
        <f t="shared" si="18"/>
        <v>2017-1</v>
      </c>
      <c r="D87" s="7">
        <f>COUNTIFS(Sheet1!G:G,Sheet3!A87,Sheet1!F:F,Sheet3!B87)</f>
        <v>6</v>
      </c>
      <c r="E87" s="7">
        <f t="shared" si="25"/>
        <v>9</v>
      </c>
      <c r="F87" s="7">
        <f t="shared" si="25"/>
        <v>15</v>
      </c>
      <c r="G87" s="7">
        <f t="shared" si="25"/>
        <v>20</v>
      </c>
      <c r="H87" s="7">
        <f t="shared" si="25"/>
        <v>7</v>
      </c>
      <c r="I87" s="7">
        <f t="shared" si="25"/>
        <v>7</v>
      </c>
      <c r="J87" s="7">
        <f t="shared" si="29"/>
        <v>10</v>
      </c>
      <c r="K87" s="7">
        <f t="shared" si="26"/>
        <v>7</v>
      </c>
      <c r="L87" s="7">
        <f t="shared" si="26"/>
        <v>12</v>
      </c>
      <c r="M87" s="7">
        <f t="shared" si="26"/>
        <v>9</v>
      </c>
      <c r="N87" s="7">
        <f t="shared" si="26"/>
        <v>13</v>
      </c>
      <c r="O87" s="7">
        <f t="shared" si="26"/>
        <v>25</v>
      </c>
      <c r="P87" s="7">
        <f t="shared" si="26"/>
        <v>16</v>
      </c>
      <c r="AD87" s="11">
        <f t="shared" si="19"/>
        <v>1.791759469228055</v>
      </c>
      <c r="AJ87" s="11">
        <f t="shared" si="20"/>
        <v>20.236599999999999</v>
      </c>
      <c r="AK87" s="13">
        <f t="shared" si="21"/>
        <v>202.68077955999999</v>
      </c>
      <c r="AN87" s="13">
        <f t="shared" si="22"/>
        <v>14.495238095238095</v>
      </c>
      <c r="AO87" s="13">
        <f t="shared" si="23"/>
        <v>72.169070294784575</v>
      </c>
      <c r="AR87" s="7">
        <f t="shared" si="24"/>
        <v>6</v>
      </c>
    </row>
    <row r="88" spans="1:44" x14ac:dyDescent="0.2">
      <c r="A88" s="7">
        <f t="shared" si="27"/>
        <v>2017</v>
      </c>
      <c r="B88" s="7">
        <f t="shared" si="28"/>
        <v>2</v>
      </c>
      <c r="C88" s="7" t="str">
        <f t="shared" si="18"/>
        <v>2017-2</v>
      </c>
      <c r="D88" s="7">
        <f>COUNTIFS(Sheet1!G:G,Sheet3!A88,Sheet1!F:F,Sheet3!B88)</f>
        <v>3</v>
      </c>
      <c r="E88" s="7">
        <f t="shared" si="25"/>
        <v>6</v>
      </c>
      <c r="F88" s="7">
        <f t="shared" si="25"/>
        <v>9</v>
      </c>
      <c r="G88" s="7">
        <f t="shared" si="25"/>
        <v>15</v>
      </c>
      <c r="H88" s="7">
        <f t="shared" si="25"/>
        <v>20</v>
      </c>
      <c r="I88" s="7">
        <f t="shared" si="25"/>
        <v>7</v>
      </c>
      <c r="J88" s="7">
        <f t="shared" si="29"/>
        <v>7</v>
      </c>
      <c r="K88" s="7">
        <f t="shared" si="26"/>
        <v>10</v>
      </c>
      <c r="L88" s="7">
        <f t="shared" si="26"/>
        <v>7</v>
      </c>
      <c r="M88" s="7">
        <f t="shared" si="26"/>
        <v>12</v>
      </c>
      <c r="N88" s="7">
        <f t="shared" si="26"/>
        <v>9</v>
      </c>
      <c r="O88" s="7">
        <f t="shared" si="26"/>
        <v>13</v>
      </c>
      <c r="P88" s="7">
        <f t="shared" si="26"/>
        <v>25</v>
      </c>
      <c r="AD88" s="11">
        <f t="shared" si="19"/>
        <v>1.0986122886681098</v>
      </c>
      <c r="AJ88" s="11">
        <f t="shared" si="20"/>
        <v>20.504200000000001</v>
      </c>
      <c r="AK88" s="13">
        <f t="shared" si="21"/>
        <v>306.39701764000006</v>
      </c>
      <c r="AN88" s="13">
        <f t="shared" si="22"/>
        <v>14.495238095238095</v>
      </c>
      <c r="AO88" s="13">
        <f t="shared" si="23"/>
        <v>132.14049886621316</v>
      </c>
      <c r="AR88" s="7">
        <f t="shared" si="24"/>
        <v>3</v>
      </c>
    </row>
    <row r="89" spans="1:44" x14ac:dyDescent="0.2">
      <c r="A89" s="7">
        <f t="shared" si="27"/>
        <v>2017</v>
      </c>
      <c r="B89" s="7">
        <f t="shared" si="28"/>
        <v>3</v>
      </c>
      <c r="C89" s="7" t="str">
        <f t="shared" si="18"/>
        <v>2017-3</v>
      </c>
      <c r="D89" s="7">
        <f>COUNTIFS(Sheet1!G:G,Sheet3!A89,Sheet1!F:F,Sheet3!B89)</f>
        <v>0</v>
      </c>
      <c r="E89" s="7">
        <f t="shared" si="25"/>
        <v>3</v>
      </c>
      <c r="F89" s="7">
        <f t="shared" si="25"/>
        <v>6</v>
      </c>
      <c r="G89" s="7">
        <f t="shared" si="25"/>
        <v>9</v>
      </c>
      <c r="H89" s="7">
        <f t="shared" si="25"/>
        <v>15</v>
      </c>
      <c r="I89" s="7">
        <f t="shared" si="25"/>
        <v>20</v>
      </c>
      <c r="J89" s="7">
        <f t="shared" si="29"/>
        <v>7</v>
      </c>
      <c r="K89" s="7">
        <f t="shared" si="26"/>
        <v>7</v>
      </c>
      <c r="L89" s="7">
        <f t="shared" si="26"/>
        <v>10</v>
      </c>
      <c r="M89" s="7">
        <f t="shared" si="26"/>
        <v>7</v>
      </c>
      <c r="N89" s="7">
        <f t="shared" si="26"/>
        <v>12</v>
      </c>
      <c r="O89" s="7">
        <f t="shared" si="26"/>
        <v>9</v>
      </c>
      <c r="P89" s="7">
        <f t="shared" si="26"/>
        <v>13</v>
      </c>
      <c r="AD89" s="11" t="str">
        <f t="shared" si="19"/>
        <v/>
      </c>
      <c r="AJ89" s="11">
        <f t="shared" si="20"/>
        <v>20.771799999999999</v>
      </c>
      <c r="AK89" s="13">
        <f t="shared" si="21"/>
        <v>431.46767523999995</v>
      </c>
      <c r="AN89" s="13">
        <f t="shared" si="22"/>
        <v>14.495238095238095</v>
      </c>
      <c r="AO89" s="13" t="str">
        <f t="shared" si="23"/>
        <v/>
      </c>
      <c r="AR89" s="7" t="str">
        <f t="shared" si="24"/>
        <v/>
      </c>
    </row>
    <row r="90" spans="1:44" x14ac:dyDescent="0.2">
      <c r="A90" s="7">
        <f t="shared" si="27"/>
        <v>2017</v>
      </c>
      <c r="B90" s="7">
        <f t="shared" si="28"/>
        <v>4</v>
      </c>
      <c r="C90" s="7" t="str">
        <f t="shared" si="18"/>
        <v>2017-4</v>
      </c>
      <c r="D90" s="7">
        <f>COUNTIFS(Sheet1!G:G,Sheet3!A90,Sheet1!F:F,Sheet3!B90)</f>
        <v>2</v>
      </c>
      <c r="E90" s="7">
        <f t="shared" si="25"/>
        <v>0</v>
      </c>
      <c r="F90" s="7">
        <f t="shared" si="25"/>
        <v>3</v>
      </c>
      <c r="G90" s="7">
        <f t="shared" si="25"/>
        <v>6</v>
      </c>
      <c r="H90" s="7">
        <f t="shared" si="25"/>
        <v>9</v>
      </c>
      <c r="I90" s="7">
        <f t="shared" si="25"/>
        <v>15</v>
      </c>
      <c r="J90" s="7">
        <f t="shared" si="29"/>
        <v>20</v>
      </c>
      <c r="K90" s="7">
        <f t="shared" si="26"/>
        <v>7</v>
      </c>
      <c r="L90" s="7">
        <f t="shared" si="26"/>
        <v>7</v>
      </c>
      <c r="M90" s="7">
        <f t="shared" si="26"/>
        <v>10</v>
      </c>
      <c r="N90" s="7">
        <f t="shared" si="26"/>
        <v>7</v>
      </c>
      <c r="O90" s="7">
        <f t="shared" si="26"/>
        <v>12</v>
      </c>
      <c r="P90" s="7">
        <f t="shared" si="26"/>
        <v>9</v>
      </c>
      <c r="AD90" s="11">
        <f t="shared" si="19"/>
        <v>0.69314718055994529</v>
      </c>
      <c r="AJ90" s="11">
        <f t="shared" si="20"/>
        <v>21.039400000000001</v>
      </c>
      <c r="AK90" s="13">
        <f t="shared" si="21"/>
        <v>362.49875236000003</v>
      </c>
      <c r="AN90" s="13">
        <f t="shared" si="22"/>
        <v>14.495238095238095</v>
      </c>
      <c r="AO90" s="13">
        <f t="shared" si="23"/>
        <v>156.13097505668935</v>
      </c>
      <c r="AR90" s="7">
        <f t="shared" si="24"/>
        <v>2</v>
      </c>
    </row>
    <row r="91" spans="1:44" x14ac:dyDescent="0.2">
      <c r="A91" s="7">
        <f t="shared" si="27"/>
        <v>2017</v>
      </c>
      <c r="B91" s="7">
        <f t="shared" si="28"/>
        <v>5</v>
      </c>
      <c r="C91" s="7" t="str">
        <f t="shared" si="18"/>
        <v>2017-5</v>
      </c>
      <c r="D91" s="7">
        <f>COUNTIFS(Sheet1!G:G,Sheet3!A91,Sheet1!F:F,Sheet3!B91)</f>
        <v>5</v>
      </c>
      <c r="E91" s="7">
        <f t="shared" si="25"/>
        <v>2</v>
      </c>
      <c r="F91" s="7">
        <f t="shared" si="25"/>
        <v>0</v>
      </c>
      <c r="G91" s="7">
        <f t="shared" si="25"/>
        <v>3</v>
      </c>
      <c r="H91" s="7">
        <f t="shared" si="25"/>
        <v>6</v>
      </c>
      <c r="I91" s="7">
        <f t="shared" si="25"/>
        <v>9</v>
      </c>
      <c r="J91" s="7">
        <f t="shared" si="29"/>
        <v>15</v>
      </c>
      <c r="K91" s="7">
        <f t="shared" si="26"/>
        <v>20</v>
      </c>
      <c r="L91" s="7">
        <f t="shared" si="26"/>
        <v>7</v>
      </c>
      <c r="M91" s="7">
        <f t="shared" si="26"/>
        <v>7</v>
      </c>
      <c r="N91" s="7">
        <f t="shared" si="26"/>
        <v>10</v>
      </c>
      <c r="O91" s="7">
        <f t="shared" si="26"/>
        <v>7</v>
      </c>
      <c r="P91" s="7">
        <f t="shared" si="26"/>
        <v>12</v>
      </c>
      <c r="AD91" s="11">
        <f t="shared" si="19"/>
        <v>1.6094379124341003</v>
      </c>
      <c r="AJ91" s="11">
        <f t="shared" si="20"/>
        <v>21.306999999999999</v>
      </c>
      <c r="AK91" s="13">
        <f t="shared" si="21"/>
        <v>265.91824899999995</v>
      </c>
      <c r="AN91" s="13">
        <f t="shared" si="22"/>
        <v>14.495238095238095</v>
      </c>
      <c r="AO91" s="13">
        <f t="shared" si="23"/>
        <v>90.159546485260776</v>
      </c>
      <c r="AR91" s="7">
        <f t="shared" si="24"/>
        <v>5</v>
      </c>
    </row>
    <row r="92" spans="1:44" x14ac:dyDescent="0.2">
      <c r="A92" s="7">
        <f t="shared" si="27"/>
        <v>2017</v>
      </c>
      <c r="B92" s="7">
        <f t="shared" si="28"/>
        <v>6</v>
      </c>
      <c r="C92" s="7" t="str">
        <f t="shared" si="18"/>
        <v>2017-6</v>
      </c>
      <c r="D92" s="7">
        <f>COUNTIFS(Sheet1!G:G,Sheet3!A92,Sheet1!F:F,Sheet3!B92)</f>
        <v>33</v>
      </c>
      <c r="E92" s="7">
        <f t="shared" si="25"/>
        <v>5</v>
      </c>
      <c r="F92" s="7">
        <f t="shared" si="25"/>
        <v>2</v>
      </c>
      <c r="G92" s="7">
        <f t="shared" si="25"/>
        <v>0</v>
      </c>
      <c r="H92" s="7">
        <f t="shared" si="25"/>
        <v>3</v>
      </c>
      <c r="I92" s="7">
        <f t="shared" si="25"/>
        <v>6</v>
      </c>
      <c r="J92" s="7">
        <f t="shared" si="29"/>
        <v>9</v>
      </c>
      <c r="K92" s="7">
        <f t="shared" si="26"/>
        <v>15</v>
      </c>
      <c r="L92" s="7">
        <f t="shared" si="26"/>
        <v>20</v>
      </c>
      <c r="M92" s="7">
        <f t="shared" si="26"/>
        <v>7</v>
      </c>
      <c r="N92" s="7">
        <f t="shared" si="26"/>
        <v>7</v>
      </c>
      <c r="O92" s="7">
        <f t="shared" si="26"/>
        <v>10</v>
      </c>
      <c r="P92" s="7">
        <f t="shared" si="26"/>
        <v>7</v>
      </c>
      <c r="AD92" s="11">
        <f t="shared" si="19"/>
        <v>3.4965075614664802</v>
      </c>
      <c r="AJ92" s="11">
        <f t="shared" si="20"/>
        <v>21.5746</v>
      </c>
      <c r="AK92" s="13">
        <f t="shared" si="21"/>
        <v>130.53976516</v>
      </c>
      <c r="AN92" s="13">
        <f t="shared" si="22"/>
        <v>14.495238095238095</v>
      </c>
      <c r="AO92" s="13">
        <f t="shared" si="23"/>
        <v>342.42621315192753</v>
      </c>
      <c r="AR92" s="7">
        <f t="shared" si="24"/>
        <v>33</v>
      </c>
    </row>
    <row r="93" spans="1:44" x14ac:dyDescent="0.2">
      <c r="A93" s="7">
        <f t="shared" si="27"/>
        <v>2017</v>
      </c>
      <c r="B93" s="7">
        <f t="shared" si="28"/>
        <v>7</v>
      </c>
      <c r="C93" s="7" t="str">
        <f t="shared" si="18"/>
        <v>2017-7</v>
      </c>
      <c r="D93" s="7">
        <f>COUNTIFS(Sheet1!G:G,Sheet3!A93,Sheet1!F:F,Sheet3!B93)</f>
        <v>4</v>
      </c>
      <c r="E93" s="7">
        <f t="shared" si="25"/>
        <v>33</v>
      </c>
      <c r="F93" s="7">
        <f t="shared" si="25"/>
        <v>5</v>
      </c>
      <c r="G93" s="7">
        <f t="shared" si="25"/>
        <v>2</v>
      </c>
      <c r="H93" s="7">
        <f t="shared" si="25"/>
        <v>0</v>
      </c>
      <c r="I93" s="7">
        <f t="shared" si="25"/>
        <v>3</v>
      </c>
      <c r="J93" s="7">
        <f t="shared" si="29"/>
        <v>6</v>
      </c>
      <c r="K93" s="7">
        <f t="shared" si="26"/>
        <v>9</v>
      </c>
      <c r="L93" s="7">
        <f t="shared" si="26"/>
        <v>15</v>
      </c>
      <c r="M93" s="7">
        <f t="shared" si="26"/>
        <v>20</v>
      </c>
      <c r="N93" s="7">
        <f t="shared" si="26"/>
        <v>7</v>
      </c>
      <c r="O93" s="7">
        <f t="shared" si="26"/>
        <v>7</v>
      </c>
      <c r="P93" s="7">
        <f t="shared" si="26"/>
        <v>10</v>
      </c>
      <c r="AD93" s="11">
        <f t="shared" si="19"/>
        <v>1.3862943611198906</v>
      </c>
      <c r="AJ93" s="11">
        <f t="shared" si="20"/>
        <v>21.842199999999998</v>
      </c>
      <c r="AK93" s="13">
        <f t="shared" si="21"/>
        <v>318.34410083999995</v>
      </c>
      <c r="AN93" s="13">
        <f t="shared" si="22"/>
        <v>14.495238095238095</v>
      </c>
      <c r="AO93" s="13">
        <f t="shared" si="23"/>
        <v>110.15002267573696</v>
      </c>
      <c r="AR93" s="7">
        <f t="shared" si="24"/>
        <v>4</v>
      </c>
    </row>
    <row r="94" spans="1:44" x14ac:dyDescent="0.2">
      <c r="A94" s="7">
        <f t="shared" si="27"/>
        <v>2017</v>
      </c>
      <c r="B94" s="7">
        <f t="shared" si="28"/>
        <v>8</v>
      </c>
      <c r="C94" s="7" t="str">
        <f t="shared" si="18"/>
        <v>2017-8</v>
      </c>
      <c r="D94" s="7">
        <f>COUNTIFS(Sheet1!G:G,Sheet3!A94,Sheet1!F:F,Sheet3!B94)</f>
        <v>0</v>
      </c>
      <c r="E94" s="7">
        <f t="shared" si="25"/>
        <v>4</v>
      </c>
      <c r="F94" s="7">
        <f t="shared" si="25"/>
        <v>33</v>
      </c>
      <c r="G94" s="7">
        <f t="shared" si="25"/>
        <v>5</v>
      </c>
      <c r="H94" s="7">
        <f t="shared" si="25"/>
        <v>2</v>
      </c>
      <c r="I94" s="7">
        <f t="shared" si="25"/>
        <v>0</v>
      </c>
      <c r="J94" s="7">
        <f t="shared" si="29"/>
        <v>3</v>
      </c>
      <c r="K94" s="7">
        <f t="shared" si="26"/>
        <v>6</v>
      </c>
      <c r="L94" s="7">
        <f t="shared" si="26"/>
        <v>9</v>
      </c>
      <c r="M94" s="7">
        <f t="shared" si="26"/>
        <v>15</v>
      </c>
      <c r="N94" s="7">
        <f t="shared" si="26"/>
        <v>20</v>
      </c>
      <c r="O94" s="7">
        <f t="shared" si="26"/>
        <v>7</v>
      </c>
      <c r="P94" s="7">
        <f t="shared" si="26"/>
        <v>7</v>
      </c>
      <c r="AD94" s="11" t="str">
        <f t="shared" si="19"/>
        <v/>
      </c>
      <c r="AJ94" s="11">
        <f t="shared" si="20"/>
        <v>22.1098</v>
      </c>
      <c r="AK94" s="13">
        <f t="shared" si="21"/>
        <v>488.84325603999997</v>
      </c>
      <c r="AN94" s="13">
        <f t="shared" si="22"/>
        <v>14.495238095238095</v>
      </c>
      <c r="AO94" s="13" t="str">
        <f t="shared" si="23"/>
        <v/>
      </c>
      <c r="AR94" s="7" t="str">
        <f t="shared" si="24"/>
        <v/>
      </c>
    </row>
    <row r="95" spans="1:44" x14ac:dyDescent="0.2">
      <c r="A95" s="7">
        <f t="shared" si="27"/>
        <v>2017</v>
      </c>
      <c r="B95" s="7">
        <f t="shared" si="28"/>
        <v>9</v>
      </c>
      <c r="C95" s="7" t="str">
        <f t="shared" si="18"/>
        <v>2017-9</v>
      </c>
      <c r="D95" s="7">
        <f>COUNTIFS(Sheet1!G:G,Sheet3!A95,Sheet1!F:F,Sheet3!B95)</f>
        <v>3</v>
      </c>
      <c r="E95" s="7">
        <f t="shared" si="25"/>
        <v>0</v>
      </c>
      <c r="F95" s="7">
        <f t="shared" si="25"/>
        <v>4</v>
      </c>
      <c r="G95" s="7">
        <f t="shared" si="25"/>
        <v>33</v>
      </c>
      <c r="H95" s="7">
        <f t="shared" si="25"/>
        <v>5</v>
      </c>
      <c r="I95" s="7">
        <f t="shared" si="25"/>
        <v>2</v>
      </c>
      <c r="J95" s="7">
        <f t="shared" si="29"/>
        <v>0</v>
      </c>
      <c r="K95" s="7">
        <f t="shared" si="26"/>
        <v>3</v>
      </c>
      <c r="L95" s="7">
        <f t="shared" si="26"/>
        <v>6</v>
      </c>
      <c r="M95" s="7">
        <f t="shared" si="26"/>
        <v>9</v>
      </c>
      <c r="N95" s="7">
        <f t="shared" si="26"/>
        <v>15</v>
      </c>
      <c r="O95" s="7">
        <f t="shared" si="26"/>
        <v>20</v>
      </c>
      <c r="P95" s="7">
        <f t="shared" si="26"/>
        <v>7</v>
      </c>
      <c r="AD95" s="11">
        <f t="shared" si="19"/>
        <v>1.0986122886681098</v>
      </c>
      <c r="AJ95" s="11">
        <f t="shared" si="20"/>
        <v>22.377399999999998</v>
      </c>
      <c r="AK95" s="13">
        <f t="shared" si="21"/>
        <v>375.48363075999993</v>
      </c>
      <c r="AN95" s="13">
        <f t="shared" si="22"/>
        <v>14.495238095238095</v>
      </c>
      <c r="AO95" s="13">
        <f t="shared" si="23"/>
        <v>132.14049886621316</v>
      </c>
      <c r="AR95" s="7">
        <f t="shared" si="24"/>
        <v>3</v>
      </c>
    </row>
    <row r="96" spans="1:44" x14ac:dyDescent="0.2">
      <c r="A96" s="7">
        <f t="shared" si="27"/>
        <v>2017</v>
      </c>
      <c r="B96" s="7">
        <f t="shared" si="28"/>
        <v>10</v>
      </c>
      <c r="C96" s="7" t="str">
        <f t="shared" si="18"/>
        <v>2017-10</v>
      </c>
      <c r="D96" s="7">
        <f>COUNTIFS(Sheet1!G:G,Sheet3!A96,Sheet1!F:F,Sheet3!B96)</f>
        <v>7</v>
      </c>
      <c r="E96" s="7">
        <f t="shared" si="25"/>
        <v>3</v>
      </c>
      <c r="F96" s="7">
        <f t="shared" si="25"/>
        <v>0</v>
      </c>
      <c r="G96" s="7">
        <f t="shared" si="25"/>
        <v>4</v>
      </c>
      <c r="H96" s="7">
        <f t="shared" si="25"/>
        <v>33</v>
      </c>
      <c r="I96" s="7">
        <f t="shared" si="25"/>
        <v>5</v>
      </c>
      <c r="J96" s="7">
        <f t="shared" si="29"/>
        <v>2</v>
      </c>
      <c r="K96" s="7">
        <f t="shared" si="26"/>
        <v>0</v>
      </c>
      <c r="L96" s="7">
        <f t="shared" si="26"/>
        <v>3</v>
      </c>
      <c r="M96" s="7">
        <f t="shared" si="26"/>
        <v>6</v>
      </c>
      <c r="N96" s="7">
        <f t="shared" si="26"/>
        <v>9</v>
      </c>
      <c r="O96" s="7">
        <f t="shared" si="26"/>
        <v>15</v>
      </c>
      <c r="P96" s="7">
        <f t="shared" si="26"/>
        <v>20</v>
      </c>
      <c r="AD96" s="11">
        <f t="shared" si="19"/>
        <v>1.9459101490553132</v>
      </c>
      <c r="AJ96" s="11">
        <f t="shared" si="20"/>
        <v>22.645</v>
      </c>
      <c r="AK96" s="13">
        <f t="shared" si="21"/>
        <v>244.76602499999998</v>
      </c>
      <c r="AN96" s="13">
        <f t="shared" si="22"/>
        <v>14.495238095238095</v>
      </c>
      <c r="AO96" s="13">
        <f t="shared" si="23"/>
        <v>56.178594104308388</v>
      </c>
      <c r="AR96" s="7">
        <f t="shared" si="24"/>
        <v>7</v>
      </c>
    </row>
    <row r="97" spans="1:44" x14ac:dyDescent="0.2">
      <c r="A97" s="7">
        <f t="shared" si="27"/>
        <v>2017</v>
      </c>
      <c r="B97" s="7">
        <f t="shared" si="28"/>
        <v>11</v>
      </c>
      <c r="C97" s="7" t="str">
        <f t="shared" si="18"/>
        <v>2017-11</v>
      </c>
      <c r="D97" s="7">
        <f>COUNTIFS(Sheet1!G:G,Sheet3!A97,Sheet1!F:F,Sheet3!B97)</f>
        <v>2</v>
      </c>
      <c r="E97" s="7">
        <f t="shared" si="25"/>
        <v>7</v>
      </c>
      <c r="F97" s="7">
        <f t="shared" si="25"/>
        <v>3</v>
      </c>
      <c r="G97" s="7">
        <f t="shared" si="25"/>
        <v>0</v>
      </c>
      <c r="H97" s="7">
        <f t="shared" si="25"/>
        <v>4</v>
      </c>
      <c r="I97" s="7">
        <f t="shared" si="25"/>
        <v>33</v>
      </c>
      <c r="J97" s="7">
        <f t="shared" si="29"/>
        <v>5</v>
      </c>
      <c r="K97" s="7">
        <f t="shared" si="26"/>
        <v>2</v>
      </c>
      <c r="L97" s="7">
        <f t="shared" si="26"/>
        <v>0</v>
      </c>
      <c r="M97" s="7">
        <f t="shared" si="26"/>
        <v>3</v>
      </c>
      <c r="N97" s="7">
        <f t="shared" si="26"/>
        <v>6</v>
      </c>
      <c r="O97" s="7">
        <f t="shared" si="26"/>
        <v>9</v>
      </c>
      <c r="P97" s="7">
        <f t="shared" si="26"/>
        <v>15</v>
      </c>
      <c r="AD97" s="11">
        <f t="shared" si="19"/>
        <v>0.69314718055994529</v>
      </c>
      <c r="AJ97" s="11">
        <f t="shared" si="20"/>
        <v>22.912599999999998</v>
      </c>
      <c r="AK97" s="13">
        <f t="shared" si="21"/>
        <v>437.33683875999992</v>
      </c>
      <c r="AN97" s="13">
        <f t="shared" si="22"/>
        <v>14.495238095238095</v>
      </c>
      <c r="AO97" s="13">
        <f t="shared" si="23"/>
        <v>156.13097505668935</v>
      </c>
      <c r="AR97" s="7">
        <f t="shared" si="24"/>
        <v>2</v>
      </c>
    </row>
    <row r="98" spans="1:44" x14ac:dyDescent="0.2">
      <c r="A98" s="7">
        <f t="shared" si="27"/>
        <v>2017</v>
      </c>
      <c r="B98" s="7">
        <f t="shared" si="28"/>
        <v>12</v>
      </c>
      <c r="C98" s="7" t="str">
        <f t="shared" si="18"/>
        <v>2017-12</v>
      </c>
      <c r="D98" s="7">
        <f>COUNTIFS(Sheet1!G:G,Sheet3!A98,Sheet1!F:F,Sheet3!B98)</f>
        <v>4</v>
      </c>
      <c r="E98" s="7">
        <f t="shared" si="25"/>
        <v>2</v>
      </c>
      <c r="F98" s="7">
        <f t="shared" si="25"/>
        <v>7</v>
      </c>
      <c r="G98" s="7">
        <f t="shared" si="25"/>
        <v>3</v>
      </c>
      <c r="H98" s="7">
        <f t="shared" si="25"/>
        <v>0</v>
      </c>
      <c r="I98" s="7">
        <f t="shared" si="25"/>
        <v>4</v>
      </c>
      <c r="J98" s="7">
        <f t="shared" si="29"/>
        <v>33</v>
      </c>
      <c r="K98" s="7">
        <f t="shared" si="26"/>
        <v>5</v>
      </c>
      <c r="L98" s="7">
        <f t="shared" si="26"/>
        <v>2</v>
      </c>
      <c r="M98" s="7">
        <f t="shared" si="26"/>
        <v>0</v>
      </c>
      <c r="N98" s="7">
        <f t="shared" si="26"/>
        <v>3</v>
      </c>
      <c r="O98" s="7">
        <f t="shared" si="26"/>
        <v>6</v>
      </c>
      <c r="P98" s="7">
        <f t="shared" si="26"/>
        <v>9</v>
      </c>
      <c r="AD98" s="11">
        <f t="shared" si="19"/>
        <v>1.3862943611198906</v>
      </c>
      <c r="AJ98" s="11">
        <f t="shared" si="20"/>
        <v>23.180199999999999</v>
      </c>
      <c r="AK98" s="13">
        <f t="shared" si="21"/>
        <v>367.88007203999996</v>
      </c>
      <c r="AN98" s="13">
        <f t="shared" si="22"/>
        <v>14.495238095238095</v>
      </c>
      <c r="AO98" s="13">
        <f t="shared" si="23"/>
        <v>110.15002267573696</v>
      </c>
      <c r="AR98" s="7">
        <f t="shared" si="24"/>
        <v>4</v>
      </c>
    </row>
    <row r="99" spans="1:44" x14ac:dyDescent="0.2">
      <c r="A99" s="7">
        <f t="shared" si="27"/>
        <v>2018</v>
      </c>
      <c r="B99" s="7">
        <f t="shared" si="28"/>
        <v>1</v>
      </c>
      <c r="C99" s="7" t="str">
        <f t="shared" si="18"/>
        <v>2018-1</v>
      </c>
      <c r="D99" s="7">
        <f>COUNTIFS(Sheet1!G:G,Sheet3!A99,Sheet1!F:F,Sheet3!B99)</f>
        <v>9</v>
      </c>
      <c r="E99" s="7">
        <f t="shared" si="25"/>
        <v>4</v>
      </c>
      <c r="F99" s="7">
        <f t="shared" si="25"/>
        <v>2</v>
      </c>
      <c r="G99" s="7">
        <f t="shared" si="25"/>
        <v>7</v>
      </c>
      <c r="H99" s="7">
        <f t="shared" si="25"/>
        <v>3</v>
      </c>
      <c r="I99" s="7">
        <f t="shared" si="25"/>
        <v>0</v>
      </c>
      <c r="J99" s="7">
        <f t="shared" si="29"/>
        <v>4</v>
      </c>
      <c r="K99" s="7">
        <f t="shared" si="26"/>
        <v>33</v>
      </c>
      <c r="L99" s="7">
        <f t="shared" si="26"/>
        <v>5</v>
      </c>
      <c r="M99" s="7">
        <f t="shared" si="26"/>
        <v>2</v>
      </c>
      <c r="N99" s="7">
        <f t="shared" si="26"/>
        <v>0</v>
      </c>
      <c r="O99" s="7">
        <f t="shared" si="26"/>
        <v>3</v>
      </c>
      <c r="P99" s="7">
        <f t="shared" si="26"/>
        <v>6</v>
      </c>
      <c r="AD99" s="11">
        <f t="shared" si="19"/>
        <v>2.1972245773362196</v>
      </c>
      <c r="AJ99" s="11">
        <f t="shared" si="20"/>
        <v>23.447800000000001</v>
      </c>
      <c r="AK99" s="13">
        <f t="shared" si="21"/>
        <v>208.73892484000004</v>
      </c>
      <c r="AN99" s="13">
        <f t="shared" si="22"/>
        <v>14.495238095238095</v>
      </c>
      <c r="AO99" s="13">
        <f t="shared" si="23"/>
        <v>30.197641723356011</v>
      </c>
      <c r="AR99" s="7">
        <f t="shared" si="24"/>
        <v>9</v>
      </c>
    </row>
    <row r="100" spans="1:44" x14ac:dyDescent="0.2">
      <c r="A100" s="7">
        <f t="shared" si="27"/>
        <v>2018</v>
      </c>
      <c r="B100" s="7">
        <f t="shared" si="28"/>
        <v>2</v>
      </c>
      <c r="C100" s="7" t="str">
        <f t="shared" si="18"/>
        <v>2018-2</v>
      </c>
      <c r="D100" s="7">
        <f>COUNTIFS(Sheet1!G:G,Sheet3!A100,Sheet1!F:F,Sheet3!B100)</f>
        <v>49</v>
      </c>
      <c r="E100" s="7">
        <f t="shared" si="25"/>
        <v>9</v>
      </c>
      <c r="F100" s="7">
        <f t="shared" si="25"/>
        <v>4</v>
      </c>
      <c r="G100" s="7">
        <f t="shared" si="25"/>
        <v>2</v>
      </c>
      <c r="H100" s="7">
        <f t="shared" si="25"/>
        <v>7</v>
      </c>
      <c r="I100" s="7">
        <f t="shared" si="25"/>
        <v>3</v>
      </c>
      <c r="J100" s="7">
        <f t="shared" si="29"/>
        <v>0</v>
      </c>
      <c r="K100" s="7">
        <f t="shared" si="26"/>
        <v>4</v>
      </c>
      <c r="L100" s="7">
        <f t="shared" si="26"/>
        <v>33</v>
      </c>
      <c r="M100" s="7">
        <f t="shared" si="26"/>
        <v>5</v>
      </c>
      <c r="N100" s="7">
        <f t="shared" si="26"/>
        <v>2</v>
      </c>
      <c r="O100" s="7">
        <f t="shared" si="26"/>
        <v>0</v>
      </c>
      <c r="P100" s="7">
        <f t="shared" si="26"/>
        <v>3</v>
      </c>
      <c r="AD100" s="11">
        <f t="shared" si="19"/>
        <v>3.8918202981106265</v>
      </c>
      <c r="AJ100" s="11">
        <f t="shared" si="20"/>
        <v>23.715399999999999</v>
      </c>
      <c r="AK100" s="13">
        <f t="shared" si="21"/>
        <v>639.31099716000006</v>
      </c>
      <c r="AN100" s="13">
        <f t="shared" si="22"/>
        <v>14.495238095238095</v>
      </c>
      <c r="AO100" s="13">
        <f t="shared" si="23"/>
        <v>1190.5785941043084</v>
      </c>
      <c r="AR100" s="7">
        <f t="shared" si="24"/>
        <v>49</v>
      </c>
    </row>
    <row r="101" spans="1:44" x14ac:dyDescent="0.2">
      <c r="A101" s="7">
        <f t="shared" si="27"/>
        <v>2018</v>
      </c>
      <c r="B101" s="7">
        <f t="shared" si="28"/>
        <v>3</v>
      </c>
      <c r="C101" s="7" t="str">
        <f t="shared" si="18"/>
        <v>2018-3</v>
      </c>
      <c r="D101" s="7">
        <f>COUNTIFS(Sheet1!G:G,Sheet3!A101,Sheet1!F:F,Sheet3!B101)</f>
        <v>20</v>
      </c>
      <c r="E101" s="7">
        <f t="shared" si="25"/>
        <v>49</v>
      </c>
      <c r="F101" s="7">
        <f t="shared" si="25"/>
        <v>9</v>
      </c>
      <c r="G101" s="7">
        <f t="shared" si="25"/>
        <v>4</v>
      </c>
      <c r="H101" s="7">
        <f t="shared" si="25"/>
        <v>2</v>
      </c>
      <c r="I101" s="7">
        <f t="shared" si="25"/>
        <v>7</v>
      </c>
      <c r="J101" s="7">
        <f t="shared" si="29"/>
        <v>3</v>
      </c>
      <c r="K101" s="7">
        <f t="shared" si="26"/>
        <v>0</v>
      </c>
      <c r="L101" s="7">
        <f t="shared" si="26"/>
        <v>4</v>
      </c>
      <c r="M101" s="7">
        <f t="shared" si="26"/>
        <v>33</v>
      </c>
      <c r="N101" s="7">
        <f t="shared" si="26"/>
        <v>5</v>
      </c>
      <c r="O101" s="7">
        <f t="shared" si="26"/>
        <v>2</v>
      </c>
      <c r="P101" s="7">
        <f t="shared" si="26"/>
        <v>0</v>
      </c>
      <c r="AD101" s="11">
        <f t="shared" si="19"/>
        <v>2.9957322735539909</v>
      </c>
      <c r="AJ101" s="11">
        <f t="shared" si="20"/>
        <v>23.983000000000001</v>
      </c>
      <c r="AK101" s="13">
        <f t="shared" si="21"/>
        <v>15.864289000000005</v>
      </c>
      <c r="AN101" s="13">
        <f t="shared" si="22"/>
        <v>14.495238095238095</v>
      </c>
      <c r="AO101" s="13">
        <f t="shared" si="23"/>
        <v>30.302403628117915</v>
      </c>
      <c r="AR101" s="7">
        <f t="shared" si="24"/>
        <v>20</v>
      </c>
    </row>
    <row r="102" spans="1:44" x14ac:dyDescent="0.2">
      <c r="A102" s="7">
        <f t="shared" si="27"/>
        <v>2018</v>
      </c>
      <c r="B102" s="7">
        <f t="shared" si="28"/>
        <v>4</v>
      </c>
      <c r="C102" s="7" t="str">
        <f t="shared" si="18"/>
        <v>2018-4</v>
      </c>
      <c r="D102" s="7">
        <f>COUNTIFS(Sheet1!G:G,Sheet3!A102,Sheet1!F:F,Sheet3!B102)</f>
        <v>10</v>
      </c>
      <c r="E102" s="7">
        <f t="shared" si="25"/>
        <v>20</v>
      </c>
      <c r="F102" s="7">
        <f t="shared" si="25"/>
        <v>49</v>
      </c>
      <c r="G102" s="7">
        <f t="shared" si="25"/>
        <v>9</v>
      </c>
      <c r="H102" s="7">
        <f t="shared" si="25"/>
        <v>4</v>
      </c>
      <c r="I102" s="7">
        <f t="shared" si="25"/>
        <v>2</v>
      </c>
      <c r="J102" s="7">
        <f t="shared" si="29"/>
        <v>7</v>
      </c>
      <c r="K102" s="7">
        <f t="shared" si="26"/>
        <v>3</v>
      </c>
      <c r="L102" s="7">
        <f t="shared" si="26"/>
        <v>0</v>
      </c>
      <c r="M102" s="7">
        <f t="shared" si="26"/>
        <v>4</v>
      </c>
      <c r="N102" s="7">
        <f t="shared" si="26"/>
        <v>33</v>
      </c>
      <c r="O102" s="7">
        <f t="shared" si="26"/>
        <v>5</v>
      </c>
      <c r="P102" s="7">
        <f t="shared" si="26"/>
        <v>2</v>
      </c>
      <c r="AD102" s="11">
        <f t="shared" si="19"/>
        <v>2.3025850929940459</v>
      </c>
      <c r="AJ102" s="11">
        <f t="shared" si="20"/>
        <v>24.250599999999999</v>
      </c>
      <c r="AK102" s="13">
        <f t="shared" si="21"/>
        <v>203.07960035999997</v>
      </c>
      <c r="AN102" s="13">
        <f t="shared" si="22"/>
        <v>14.495238095238095</v>
      </c>
      <c r="AO102" s="13">
        <f t="shared" si="23"/>
        <v>20.20716553287982</v>
      </c>
      <c r="AR102" s="7">
        <f t="shared" si="24"/>
        <v>10</v>
      </c>
    </row>
    <row r="103" spans="1:44" x14ac:dyDescent="0.2">
      <c r="A103" s="7">
        <f t="shared" si="27"/>
        <v>2018</v>
      </c>
      <c r="B103" s="7">
        <f t="shared" si="28"/>
        <v>5</v>
      </c>
      <c r="C103" s="7" t="str">
        <f t="shared" si="18"/>
        <v>2018-5</v>
      </c>
      <c r="D103" s="7">
        <f>COUNTIFS(Sheet1!G:G,Sheet3!A103,Sheet1!F:F,Sheet3!B103)</f>
        <v>27</v>
      </c>
      <c r="E103" s="7">
        <f t="shared" si="25"/>
        <v>10</v>
      </c>
      <c r="F103" s="7">
        <f t="shared" si="25"/>
        <v>20</v>
      </c>
      <c r="G103" s="7">
        <f t="shared" si="25"/>
        <v>49</v>
      </c>
      <c r="H103" s="7">
        <f t="shared" si="25"/>
        <v>9</v>
      </c>
      <c r="I103" s="7">
        <f t="shared" si="25"/>
        <v>4</v>
      </c>
      <c r="J103" s="7">
        <f t="shared" si="29"/>
        <v>2</v>
      </c>
      <c r="K103" s="7">
        <f t="shared" si="26"/>
        <v>7</v>
      </c>
      <c r="L103" s="7">
        <f t="shared" si="26"/>
        <v>3</v>
      </c>
      <c r="M103" s="7">
        <f t="shared" si="26"/>
        <v>0</v>
      </c>
      <c r="N103" s="7">
        <f t="shared" si="26"/>
        <v>4</v>
      </c>
      <c r="O103" s="7">
        <f t="shared" si="26"/>
        <v>33</v>
      </c>
      <c r="P103" s="7">
        <f t="shared" si="26"/>
        <v>5</v>
      </c>
      <c r="AD103" s="11">
        <f t="shared" si="19"/>
        <v>3.2958368660043291</v>
      </c>
      <c r="AJ103" s="11">
        <f t="shared" si="20"/>
        <v>24.5182</v>
      </c>
      <c r="AK103" s="13">
        <f t="shared" si="21"/>
        <v>6.1593312399999993</v>
      </c>
      <c r="AN103" s="13">
        <f t="shared" si="22"/>
        <v>14.495238095238095</v>
      </c>
      <c r="AO103" s="13">
        <f t="shared" si="23"/>
        <v>156.36907029478459</v>
      </c>
      <c r="AR103" s="7">
        <f t="shared" si="24"/>
        <v>27</v>
      </c>
    </row>
    <row r="104" spans="1:44" x14ac:dyDescent="0.2">
      <c r="A104" s="7">
        <f t="shared" si="27"/>
        <v>2018</v>
      </c>
      <c r="B104" s="7">
        <f t="shared" si="28"/>
        <v>6</v>
      </c>
      <c r="C104" s="7" t="str">
        <f t="shared" si="18"/>
        <v>2018-6</v>
      </c>
      <c r="D104" s="7">
        <f>COUNTIFS(Sheet1!G:G,Sheet3!A104,Sheet1!F:F,Sheet3!B104)</f>
        <v>33</v>
      </c>
      <c r="E104" s="7">
        <f t="shared" si="25"/>
        <v>27</v>
      </c>
      <c r="F104" s="7">
        <f t="shared" si="25"/>
        <v>10</v>
      </c>
      <c r="G104" s="7">
        <f t="shared" si="25"/>
        <v>20</v>
      </c>
      <c r="H104" s="7">
        <f t="shared" si="25"/>
        <v>49</v>
      </c>
      <c r="I104" s="7">
        <f t="shared" si="25"/>
        <v>9</v>
      </c>
      <c r="J104" s="7">
        <f t="shared" si="29"/>
        <v>4</v>
      </c>
      <c r="K104" s="7">
        <f t="shared" si="26"/>
        <v>2</v>
      </c>
      <c r="L104" s="7">
        <f t="shared" si="26"/>
        <v>7</v>
      </c>
      <c r="M104" s="7">
        <f t="shared" si="26"/>
        <v>3</v>
      </c>
      <c r="N104" s="7">
        <f t="shared" si="26"/>
        <v>0</v>
      </c>
      <c r="O104" s="7">
        <f t="shared" si="26"/>
        <v>4</v>
      </c>
      <c r="P104" s="7">
        <f t="shared" si="26"/>
        <v>33</v>
      </c>
      <c r="AD104" s="11">
        <f t="shared" si="19"/>
        <v>3.4965075614664802</v>
      </c>
      <c r="AJ104" s="11">
        <f t="shared" si="20"/>
        <v>24.785799999999998</v>
      </c>
      <c r="AK104" s="13">
        <f t="shared" si="21"/>
        <v>67.473081640000032</v>
      </c>
      <c r="AN104" s="13">
        <f t="shared" si="22"/>
        <v>14.495238095238095</v>
      </c>
      <c r="AO104" s="13">
        <f t="shared" si="23"/>
        <v>342.42621315192753</v>
      </c>
      <c r="AR104" s="7">
        <f t="shared" si="24"/>
        <v>33</v>
      </c>
    </row>
    <row r="105" spans="1:44" x14ac:dyDescent="0.2">
      <c r="A105" s="7">
        <f t="shared" si="27"/>
        <v>2018</v>
      </c>
      <c r="B105" s="7">
        <f t="shared" si="28"/>
        <v>7</v>
      </c>
      <c r="C105" s="7" t="str">
        <f t="shared" si="18"/>
        <v>2018-7</v>
      </c>
      <c r="D105" s="7">
        <f>COUNTIFS(Sheet1!G:G,Sheet3!A105,Sheet1!F:F,Sheet3!B105)</f>
        <v>26</v>
      </c>
      <c r="E105" s="7">
        <f t="shared" si="25"/>
        <v>33</v>
      </c>
      <c r="F105" s="7">
        <f t="shared" si="25"/>
        <v>27</v>
      </c>
      <c r="G105" s="7">
        <f t="shared" si="25"/>
        <v>10</v>
      </c>
      <c r="H105" s="7">
        <f t="shared" si="25"/>
        <v>20</v>
      </c>
      <c r="I105" s="7">
        <f t="shared" si="25"/>
        <v>49</v>
      </c>
      <c r="J105" s="7">
        <f t="shared" si="29"/>
        <v>9</v>
      </c>
      <c r="K105" s="7">
        <f t="shared" si="26"/>
        <v>4</v>
      </c>
      <c r="L105" s="7">
        <f t="shared" si="26"/>
        <v>2</v>
      </c>
      <c r="M105" s="7">
        <f t="shared" si="26"/>
        <v>7</v>
      </c>
      <c r="N105" s="7">
        <f t="shared" si="26"/>
        <v>3</v>
      </c>
      <c r="O105" s="7">
        <f t="shared" si="26"/>
        <v>0</v>
      </c>
      <c r="P105" s="7">
        <f t="shared" si="26"/>
        <v>4</v>
      </c>
      <c r="AD105" s="11">
        <f t="shared" si="19"/>
        <v>3.2580965380214821</v>
      </c>
      <c r="AJ105" s="11">
        <f t="shared" si="20"/>
        <v>25.0534</v>
      </c>
      <c r="AK105" s="13">
        <f t="shared" si="21"/>
        <v>0.89605156000000019</v>
      </c>
      <c r="AN105" s="13">
        <f t="shared" si="22"/>
        <v>14.495238095238095</v>
      </c>
      <c r="AO105" s="13">
        <f t="shared" si="23"/>
        <v>132.35954648526078</v>
      </c>
      <c r="AR105" s="7">
        <f t="shared" si="24"/>
        <v>26</v>
      </c>
    </row>
    <row r="106" spans="1:44" x14ac:dyDescent="0.2">
      <c r="A106" s="7">
        <f t="shared" si="27"/>
        <v>2018</v>
      </c>
      <c r="B106" s="7">
        <f t="shared" si="28"/>
        <v>8</v>
      </c>
      <c r="C106" s="7" t="str">
        <f t="shared" si="18"/>
        <v>2018-8</v>
      </c>
      <c r="D106" s="7">
        <f>COUNTIFS(Sheet1!G:G,Sheet3!A106,Sheet1!F:F,Sheet3!B106)</f>
        <v>47</v>
      </c>
      <c r="E106" s="7">
        <f t="shared" si="25"/>
        <v>26</v>
      </c>
      <c r="F106" s="7">
        <f t="shared" si="25"/>
        <v>33</v>
      </c>
      <c r="G106" s="7">
        <f t="shared" si="25"/>
        <v>27</v>
      </c>
      <c r="H106" s="7">
        <f t="shared" si="25"/>
        <v>10</v>
      </c>
      <c r="I106" s="7">
        <f t="shared" si="25"/>
        <v>20</v>
      </c>
      <c r="J106" s="7">
        <f t="shared" si="29"/>
        <v>49</v>
      </c>
      <c r="K106" s="7">
        <f t="shared" si="26"/>
        <v>9</v>
      </c>
      <c r="L106" s="7">
        <f t="shared" si="26"/>
        <v>4</v>
      </c>
      <c r="M106" s="7">
        <f t="shared" si="26"/>
        <v>2</v>
      </c>
      <c r="N106" s="7">
        <f t="shared" si="26"/>
        <v>7</v>
      </c>
      <c r="O106" s="7">
        <f t="shared" si="26"/>
        <v>3</v>
      </c>
      <c r="P106" s="7">
        <f t="shared" si="26"/>
        <v>0</v>
      </c>
      <c r="AD106" s="11">
        <f t="shared" si="19"/>
        <v>3.8501476017100584</v>
      </c>
      <c r="AJ106" s="11">
        <f t="shared" si="20"/>
        <v>25.320999999999998</v>
      </c>
      <c r="AK106" s="13">
        <f t="shared" si="21"/>
        <v>469.97904100000011</v>
      </c>
      <c r="AN106" s="13">
        <f t="shared" si="22"/>
        <v>14.495238095238095</v>
      </c>
      <c r="AO106" s="13">
        <f t="shared" si="23"/>
        <v>1056.5595464852609</v>
      </c>
      <c r="AR106" s="7">
        <f t="shared" si="24"/>
        <v>47</v>
      </c>
    </row>
    <row r="107" spans="1:44" x14ac:dyDescent="0.2">
      <c r="A107" s="7">
        <f t="shared" si="27"/>
        <v>2018</v>
      </c>
      <c r="B107" s="7">
        <f t="shared" si="28"/>
        <v>9</v>
      </c>
      <c r="C107" s="7" t="str">
        <f t="shared" si="18"/>
        <v>2018-9</v>
      </c>
      <c r="D107" s="7">
        <f>COUNTIFS(Sheet1!G:G,Sheet3!A107,Sheet1!F:F,Sheet3!B107)</f>
        <v>61</v>
      </c>
      <c r="E107" s="7">
        <f t="shared" si="25"/>
        <v>47</v>
      </c>
      <c r="F107" s="7">
        <f t="shared" si="25"/>
        <v>26</v>
      </c>
      <c r="G107" s="7">
        <f t="shared" si="25"/>
        <v>33</v>
      </c>
      <c r="H107" s="7">
        <f t="shared" si="25"/>
        <v>27</v>
      </c>
      <c r="I107" s="7">
        <f t="shared" si="25"/>
        <v>10</v>
      </c>
      <c r="J107" s="7">
        <f t="shared" si="29"/>
        <v>20</v>
      </c>
      <c r="K107" s="7">
        <f t="shared" si="26"/>
        <v>49</v>
      </c>
      <c r="L107" s="7">
        <f t="shared" si="26"/>
        <v>9</v>
      </c>
      <c r="M107" s="7">
        <f t="shared" si="26"/>
        <v>4</v>
      </c>
      <c r="N107" s="7">
        <f t="shared" si="26"/>
        <v>2</v>
      </c>
      <c r="O107" s="7">
        <f t="shared" si="26"/>
        <v>7</v>
      </c>
      <c r="P107" s="7">
        <f t="shared" si="26"/>
        <v>3</v>
      </c>
      <c r="AD107" s="11">
        <f t="shared" si="19"/>
        <v>4.1108738641733114</v>
      </c>
      <c r="AJ107" s="11">
        <f t="shared" si="20"/>
        <v>25.5886</v>
      </c>
      <c r="AK107" s="13">
        <f t="shared" si="21"/>
        <v>1253.9672499600001</v>
      </c>
      <c r="AN107" s="13">
        <f t="shared" si="22"/>
        <v>14.495238095238095</v>
      </c>
      <c r="AO107" s="13">
        <f t="shared" si="23"/>
        <v>2162.6928798185941</v>
      </c>
      <c r="AR107" s="7">
        <f t="shared" si="24"/>
        <v>61</v>
      </c>
    </row>
    <row r="108" spans="1:44" x14ac:dyDescent="0.2">
      <c r="A108" s="7">
        <f t="shared" si="27"/>
        <v>2018</v>
      </c>
      <c r="B108" s="7">
        <f t="shared" si="28"/>
        <v>10</v>
      </c>
      <c r="C108" s="7" t="str">
        <f t="shared" si="18"/>
        <v>2018-10</v>
      </c>
      <c r="D108" s="7">
        <f>COUNTIFS(Sheet1!G:G,Sheet3!A108,Sheet1!F:F,Sheet3!B108)</f>
        <v>37</v>
      </c>
      <c r="E108" s="7">
        <f t="shared" si="25"/>
        <v>61</v>
      </c>
      <c r="F108" s="7">
        <f t="shared" si="25"/>
        <v>47</v>
      </c>
      <c r="G108" s="7">
        <f t="shared" si="25"/>
        <v>26</v>
      </c>
      <c r="H108" s="7">
        <f t="shared" si="25"/>
        <v>33</v>
      </c>
      <c r="I108" s="7">
        <f t="shared" si="25"/>
        <v>27</v>
      </c>
      <c r="J108" s="7">
        <f t="shared" si="29"/>
        <v>10</v>
      </c>
      <c r="K108" s="7">
        <f t="shared" si="26"/>
        <v>20</v>
      </c>
      <c r="L108" s="7">
        <f t="shared" si="26"/>
        <v>49</v>
      </c>
      <c r="M108" s="7">
        <f t="shared" si="26"/>
        <v>9</v>
      </c>
      <c r="N108" s="7">
        <f t="shared" si="26"/>
        <v>4</v>
      </c>
      <c r="O108" s="7">
        <f t="shared" si="26"/>
        <v>2</v>
      </c>
      <c r="P108" s="7">
        <f t="shared" si="26"/>
        <v>7</v>
      </c>
      <c r="AD108" s="11">
        <f t="shared" si="19"/>
        <v>3.6109179126442243</v>
      </c>
      <c r="AJ108" s="11">
        <f t="shared" si="20"/>
        <v>25.856200000000001</v>
      </c>
      <c r="AK108" s="13">
        <f t="shared" si="21"/>
        <v>124.18427843999997</v>
      </c>
      <c r="AN108" s="13">
        <f t="shared" si="22"/>
        <v>14.495238095238095</v>
      </c>
      <c r="AO108" s="13">
        <f t="shared" si="23"/>
        <v>506.46430839002278</v>
      </c>
      <c r="AR108" s="7">
        <f t="shared" si="24"/>
        <v>37</v>
      </c>
    </row>
    <row r="109" spans="1:44" x14ac:dyDescent="0.2">
      <c r="A109" s="7">
        <f t="shared" si="27"/>
        <v>2018</v>
      </c>
      <c r="B109" s="7">
        <f t="shared" si="28"/>
        <v>11</v>
      </c>
      <c r="C109" s="7" t="str">
        <f t="shared" si="18"/>
        <v>2018-11</v>
      </c>
      <c r="D109" s="7">
        <f>COUNTIFS(Sheet1!G:G,Sheet3!A109,Sheet1!F:F,Sheet3!B109)</f>
        <v>49</v>
      </c>
      <c r="E109" s="7">
        <f t="shared" si="25"/>
        <v>37</v>
      </c>
      <c r="F109" s="7">
        <f t="shared" si="25"/>
        <v>61</v>
      </c>
      <c r="G109" s="7">
        <f t="shared" si="25"/>
        <v>47</v>
      </c>
      <c r="H109" s="7">
        <f t="shared" si="25"/>
        <v>26</v>
      </c>
      <c r="I109" s="7">
        <f t="shared" si="25"/>
        <v>33</v>
      </c>
      <c r="J109" s="7">
        <f t="shared" si="29"/>
        <v>27</v>
      </c>
      <c r="K109" s="7">
        <f t="shared" si="26"/>
        <v>10</v>
      </c>
      <c r="L109" s="7">
        <f t="shared" si="26"/>
        <v>20</v>
      </c>
      <c r="M109" s="7">
        <f t="shared" si="26"/>
        <v>49</v>
      </c>
      <c r="N109" s="7">
        <f t="shared" si="26"/>
        <v>9</v>
      </c>
      <c r="O109" s="7">
        <f t="shared" si="26"/>
        <v>4</v>
      </c>
      <c r="P109" s="7">
        <f t="shared" si="26"/>
        <v>2</v>
      </c>
      <c r="AD109" s="11">
        <f t="shared" si="19"/>
        <v>3.8918202981106265</v>
      </c>
      <c r="AJ109" s="11">
        <f t="shared" si="20"/>
        <v>26.123799999999999</v>
      </c>
      <c r="AK109" s="13">
        <f t="shared" si="21"/>
        <v>523.32052643999998</v>
      </c>
      <c r="AN109" s="13">
        <f t="shared" si="22"/>
        <v>14.495238095238095</v>
      </c>
      <c r="AO109" s="13">
        <f t="shared" si="23"/>
        <v>1190.5785941043084</v>
      </c>
      <c r="AR109" s="7">
        <f t="shared" si="24"/>
        <v>49</v>
      </c>
    </row>
    <row r="110" spans="1:44" x14ac:dyDescent="0.2">
      <c r="A110" s="7">
        <f t="shared" si="27"/>
        <v>2018</v>
      </c>
      <c r="B110" s="7">
        <f t="shared" si="28"/>
        <v>12</v>
      </c>
      <c r="C110" s="7" t="str">
        <f t="shared" si="18"/>
        <v>2018-12</v>
      </c>
      <c r="D110" s="7">
        <f>COUNTIFS(Sheet1!G:G,Sheet3!A110,Sheet1!F:F,Sheet3!B110)</f>
        <v>74</v>
      </c>
      <c r="E110" s="7">
        <f t="shared" si="25"/>
        <v>49</v>
      </c>
      <c r="F110" s="7">
        <f t="shared" si="25"/>
        <v>37</v>
      </c>
      <c r="G110" s="7">
        <f t="shared" si="25"/>
        <v>61</v>
      </c>
      <c r="H110" s="7">
        <f t="shared" si="25"/>
        <v>47</v>
      </c>
      <c r="I110" s="7">
        <f t="shared" si="25"/>
        <v>26</v>
      </c>
      <c r="J110" s="7">
        <f t="shared" si="29"/>
        <v>33</v>
      </c>
      <c r="K110" s="7">
        <f t="shared" si="26"/>
        <v>27</v>
      </c>
      <c r="L110" s="7">
        <f t="shared" si="26"/>
        <v>10</v>
      </c>
      <c r="M110" s="7">
        <f t="shared" si="26"/>
        <v>20</v>
      </c>
      <c r="N110" s="7">
        <f t="shared" si="26"/>
        <v>49</v>
      </c>
      <c r="O110" s="7">
        <f t="shared" si="26"/>
        <v>9</v>
      </c>
      <c r="P110" s="7">
        <f t="shared" si="26"/>
        <v>4</v>
      </c>
      <c r="AD110" s="11">
        <f t="shared" si="19"/>
        <v>4.3040650932041702</v>
      </c>
      <c r="AJ110" s="11">
        <f t="shared" si="20"/>
        <v>26.391400000000001</v>
      </c>
      <c r="AK110" s="13">
        <f t="shared" si="21"/>
        <v>2266.5787939599995</v>
      </c>
      <c r="AN110" s="13">
        <f t="shared" si="22"/>
        <v>14.495238095238095</v>
      </c>
      <c r="AO110" s="13">
        <f t="shared" si="23"/>
        <v>3540.8166893424041</v>
      </c>
      <c r="AR110" s="7">
        <f t="shared" si="24"/>
        <v>74</v>
      </c>
    </row>
    <row r="111" spans="1:44" x14ac:dyDescent="0.2">
      <c r="A111" s="7">
        <f t="shared" si="27"/>
        <v>2019</v>
      </c>
      <c r="B111" s="7">
        <f t="shared" si="28"/>
        <v>1</v>
      </c>
      <c r="C111" s="7" t="str">
        <f t="shared" si="18"/>
        <v>2019-1</v>
      </c>
      <c r="D111" s="7">
        <f>COUNTIFS(Sheet1!G:G,Sheet3!A111,Sheet1!F:F,Sheet3!B111)</f>
        <v>69</v>
      </c>
      <c r="E111" s="7">
        <f t="shared" si="25"/>
        <v>74</v>
      </c>
      <c r="F111" s="7">
        <f t="shared" si="25"/>
        <v>49</v>
      </c>
      <c r="G111" s="7">
        <f t="shared" si="25"/>
        <v>37</v>
      </c>
      <c r="H111" s="7">
        <f t="shared" si="25"/>
        <v>61</v>
      </c>
      <c r="I111" s="7">
        <f t="shared" si="25"/>
        <v>47</v>
      </c>
      <c r="J111" s="7">
        <f t="shared" si="29"/>
        <v>26</v>
      </c>
      <c r="K111" s="7">
        <f t="shared" si="26"/>
        <v>33</v>
      </c>
      <c r="L111" s="7">
        <f t="shared" si="26"/>
        <v>27</v>
      </c>
      <c r="M111" s="7">
        <f t="shared" si="26"/>
        <v>10</v>
      </c>
      <c r="N111" s="7">
        <f t="shared" si="26"/>
        <v>20</v>
      </c>
      <c r="O111" s="7">
        <f t="shared" si="26"/>
        <v>49</v>
      </c>
      <c r="P111" s="7">
        <f t="shared" si="26"/>
        <v>9</v>
      </c>
      <c r="AD111" s="11">
        <f t="shared" si="19"/>
        <v>4.2341065045972597</v>
      </c>
      <c r="AJ111" s="11">
        <f t="shared" si="20"/>
        <v>26.658999999999999</v>
      </c>
      <c r="AK111" s="13">
        <f t="shared" si="21"/>
        <v>1792.7602810000001</v>
      </c>
      <c r="AN111" s="13">
        <f t="shared" si="22"/>
        <v>14.495238095238095</v>
      </c>
      <c r="AO111" s="13">
        <f t="shared" si="23"/>
        <v>2970.7690702947848</v>
      </c>
      <c r="AR111" s="7">
        <f t="shared" si="24"/>
        <v>69</v>
      </c>
    </row>
    <row r="112" spans="1:44" x14ac:dyDescent="0.2">
      <c r="A112" s="7">
        <f t="shared" si="27"/>
        <v>2019</v>
      </c>
      <c r="B112" s="7">
        <f t="shared" si="28"/>
        <v>2</v>
      </c>
      <c r="C112" s="7" t="str">
        <f t="shared" si="18"/>
        <v>2019-2</v>
      </c>
      <c r="D112" s="7">
        <f>COUNTIFS(Sheet1!G:G,Sheet3!A112,Sheet1!F:F,Sheet3!B112)</f>
        <v>27</v>
      </c>
      <c r="E112" s="7">
        <f t="shared" si="25"/>
        <v>69</v>
      </c>
      <c r="F112" s="7">
        <f t="shared" si="25"/>
        <v>74</v>
      </c>
      <c r="G112" s="7">
        <f t="shared" si="25"/>
        <v>49</v>
      </c>
      <c r="H112" s="7">
        <f t="shared" si="25"/>
        <v>37</v>
      </c>
      <c r="I112" s="7">
        <f t="shared" si="25"/>
        <v>61</v>
      </c>
      <c r="J112" s="7">
        <f t="shared" si="29"/>
        <v>47</v>
      </c>
      <c r="K112" s="7">
        <f t="shared" si="26"/>
        <v>26</v>
      </c>
      <c r="L112" s="7">
        <f t="shared" si="26"/>
        <v>33</v>
      </c>
      <c r="M112" s="7">
        <f t="shared" si="26"/>
        <v>27</v>
      </c>
      <c r="N112" s="7">
        <f t="shared" si="26"/>
        <v>10</v>
      </c>
      <c r="O112" s="7">
        <f t="shared" si="26"/>
        <v>20</v>
      </c>
      <c r="P112" s="7">
        <f t="shared" si="26"/>
        <v>49</v>
      </c>
      <c r="AD112" s="11">
        <f t="shared" si="19"/>
        <v>3.2958368660043291</v>
      </c>
      <c r="AJ112" s="11">
        <f t="shared" si="20"/>
        <v>26.926600000000001</v>
      </c>
      <c r="AK112" s="13">
        <f t="shared" si="21"/>
        <v>5.3875599999999215E-3</v>
      </c>
      <c r="AN112" s="13">
        <f t="shared" si="22"/>
        <v>14.495238095238095</v>
      </c>
      <c r="AO112" s="13">
        <f t="shared" si="23"/>
        <v>156.36907029478459</v>
      </c>
      <c r="AR112" s="7">
        <f t="shared" si="24"/>
        <v>27</v>
      </c>
    </row>
    <row r="113" spans="1:44" x14ac:dyDescent="0.2">
      <c r="A113" s="7">
        <f t="shared" si="27"/>
        <v>2019</v>
      </c>
      <c r="B113" s="7">
        <f t="shared" si="28"/>
        <v>3</v>
      </c>
      <c r="C113" s="7" t="str">
        <f t="shared" si="18"/>
        <v>2019-3</v>
      </c>
      <c r="D113" s="7">
        <f>COUNTIFS(Sheet1!G:G,Sheet3!A113,Sheet1!F:F,Sheet3!B113)</f>
        <v>32</v>
      </c>
      <c r="E113" s="7">
        <f t="shared" si="25"/>
        <v>27</v>
      </c>
      <c r="F113" s="7">
        <f t="shared" si="25"/>
        <v>69</v>
      </c>
      <c r="G113" s="7">
        <f t="shared" si="25"/>
        <v>74</v>
      </c>
      <c r="H113" s="7">
        <f t="shared" si="25"/>
        <v>49</v>
      </c>
      <c r="I113" s="7">
        <f t="shared" si="25"/>
        <v>37</v>
      </c>
      <c r="J113" s="7">
        <f t="shared" si="29"/>
        <v>61</v>
      </c>
      <c r="K113" s="7">
        <f t="shared" si="26"/>
        <v>47</v>
      </c>
      <c r="L113" s="7">
        <f t="shared" si="26"/>
        <v>26</v>
      </c>
      <c r="M113" s="7">
        <f t="shared" si="26"/>
        <v>33</v>
      </c>
      <c r="N113" s="7">
        <f t="shared" si="26"/>
        <v>27</v>
      </c>
      <c r="O113" s="7">
        <f t="shared" si="26"/>
        <v>10</v>
      </c>
      <c r="P113" s="7">
        <f t="shared" si="26"/>
        <v>20</v>
      </c>
      <c r="AD113" s="11">
        <f t="shared" si="19"/>
        <v>3.4657359027997265</v>
      </c>
      <c r="AJ113" s="11">
        <f t="shared" si="20"/>
        <v>27.194199999999999</v>
      </c>
      <c r="AK113" s="13">
        <f t="shared" si="21"/>
        <v>23.095713640000014</v>
      </c>
      <c r="AN113" s="13">
        <f t="shared" si="22"/>
        <v>14.495238095238095</v>
      </c>
      <c r="AO113" s="13">
        <f t="shared" si="23"/>
        <v>306.41668934240369</v>
      </c>
      <c r="AR113" s="7">
        <f t="shared" si="24"/>
        <v>32</v>
      </c>
    </row>
    <row r="114" spans="1:44" x14ac:dyDescent="0.2">
      <c r="A114" s="7">
        <f t="shared" si="27"/>
        <v>2019</v>
      </c>
      <c r="B114" s="7">
        <f t="shared" si="28"/>
        <v>4</v>
      </c>
      <c r="C114" s="7" t="str">
        <f t="shared" si="18"/>
        <v>2019-4</v>
      </c>
      <c r="D114" s="7">
        <f>COUNTIFS(Sheet1!G:G,Sheet3!A114,Sheet1!F:F,Sheet3!B114)</f>
        <v>41</v>
      </c>
      <c r="E114" s="7">
        <f t="shared" si="25"/>
        <v>32</v>
      </c>
      <c r="F114" s="7">
        <f t="shared" si="25"/>
        <v>27</v>
      </c>
      <c r="G114" s="7">
        <f t="shared" si="25"/>
        <v>69</v>
      </c>
      <c r="H114" s="7">
        <f t="shared" si="25"/>
        <v>74</v>
      </c>
      <c r="I114" s="7">
        <f t="shared" si="25"/>
        <v>49</v>
      </c>
      <c r="J114" s="7">
        <f t="shared" si="29"/>
        <v>37</v>
      </c>
      <c r="K114" s="7">
        <f t="shared" si="26"/>
        <v>61</v>
      </c>
      <c r="L114" s="7">
        <f t="shared" si="26"/>
        <v>47</v>
      </c>
      <c r="M114" s="7">
        <f t="shared" si="26"/>
        <v>26</v>
      </c>
      <c r="N114" s="7">
        <f t="shared" si="26"/>
        <v>33</v>
      </c>
      <c r="O114" s="7">
        <f t="shared" si="26"/>
        <v>27</v>
      </c>
      <c r="P114" s="7">
        <f t="shared" si="26"/>
        <v>10</v>
      </c>
      <c r="AD114" s="11">
        <f t="shared" si="19"/>
        <v>3.713572066704308</v>
      </c>
      <c r="AJ114" s="11">
        <f t="shared" si="20"/>
        <v>27.4618</v>
      </c>
      <c r="AK114" s="13">
        <f t="shared" si="21"/>
        <v>183.28285923999999</v>
      </c>
      <c r="AN114" s="13">
        <f t="shared" si="22"/>
        <v>14.495238095238095</v>
      </c>
      <c r="AO114" s="13">
        <f t="shared" si="23"/>
        <v>702.50240362811803</v>
      </c>
      <c r="AR114" s="7">
        <f t="shared" si="24"/>
        <v>41</v>
      </c>
    </row>
    <row r="115" spans="1:44" x14ac:dyDescent="0.2">
      <c r="A115" s="7">
        <f t="shared" si="27"/>
        <v>2019</v>
      </c>
      <c r="B115" s="7">
        <f t="shared" si="28"/>
        <v>5</v>
      </c>
      <c r="C115" s="7" t="str">
        <f t="shared" si="18"/>
        <v>2019-5</v>
      </c>
      <c r="D115" s="7">
        <f>COUNTIFS(Sheet1!G:G,Sheet3!A115,Sheet1!F:F,Sheet3!B115)</f>
        <v>44</v>
      </c>
      <c r="E115" s="7">
        <f t="shared" si="25"/>
        <v>41</v>
      </c>
      <c r="F115" s="7">
        <f t="shared" si="25"/>
        <v>32</v>
      </c>
      <c r="G115" s="7">
        <f t="shared" si="25"/>
        <v>27</v>
      </c>
      <c r="H115" s="7">
        <f t="shared" si="25"/>
        <v>69</v>
      </c>
      <c r="I115" s="7">
        <f t="shared" si="25"/>
        <v>74</v>
      </c>
      <c r="J115" s="7">
        <f t="shared" si="29"/>
        <v>49</v>
      </c>
      <c r="K115" s="7">
        <f t="shared" si="26"/>
        <v>37</v>
      </c>
      <c r="L115" s="7">
        <f t="shared" si="26"/>
        <v>61</v>
      </c>
      <c r="M115" s="7">
        <f t="shared" si="26"/>
        <v>47</v>
      </c>
      <c r="N115" s="7">
        <f t="shared" si="26"/>
        <v>26</v>
      </c>
      <c r="O115" s="7">
        <f t="shared" si="26"/>
        <v>33</v>
      </c>
      <c r="P115" s="7">
        <f t="shared" si="26"/>
        <v>27</v>
      </c>
      <c r="AD115" s="11">
        <f t="shared" si="19"/>
        <v>3.784189633918261</v>
      </c>
      <c r="AJ115" s="11">
        <f t="shared" si="20"/>
        <v>27.729399999999998</v>
      </c>
      <c r="AK115" s="13">
        <f t="shared" si="21"/>
        <v>264.73242436000004</v>
      </c>
      <c r="AN115" s="13">
        <f t="shared" si="22"/>
        <v>14.495238095238095</v>
      </c>
      <c r="AO115" s="13">
        <f t="shared" si="23"/>
        <v>870.5309750566895</v>
      </c>
      <c r="AR115" s="7">
        <f t="shared" si="24"/>
        <v>44</v>
      </c>
    </row>
    <row r="116" spans="1:44" x14ac:dyDescent="0.2">
      <c r="A116" s="7">
        <f t="shared" si="27"/>
        <v>2019</v>
      </c>
      <c r="B116" s="7">
        <f t="shared" si="28"/>
        <v>6</v>
      </c>
      <c r="C116" s="7" t="str">
        <f t="shared" si="18"/>
        <v>2019-6</v>
      </c>
      <c r="D116" s="7">
        <f>COUNTIFS(Sheet1!G:G,Sheet3!A116,Sheet1!F:F,Sheet3!B116)</f>
        <v>30</v>
      </c>
      <c r="E116" s="7">
        <f t="shared" si="25"/>
        <v>44</v>
      </c>
      <c r="F116" s="7">
        <f t="shared" si="25"/>
        <v>41</v>
      </c>
      <c r="G116" s="7">
        <f t="shared" si="25"/>
        <v>32</v>
      </c>
      <c r="H116" s="7">
        <f t="shared" si="25"/>
        <v>27</v>
      </c>
      <c r="I116" s="7">
        <f t="shared" si="25"/>
        <v>69</v>
      </c>
      <c r="J116" s="7">
        <f t="shared" si="29"/>
        <v>74</v>
      </c>
      <c r="K116" s="7">
        <f t="shared" si="26"/>
        <v>49</v>
      </c>
      <c r="L116" s="7">
        <f t="shared" si="26"/>
        <v>37</v>
      </c>
      <c r="M116" s="7">
        <f t="shared" si="26"/>
        <v>61</v>
      </c>
      <c r="N116" s="7">
        <f t="shared" si="26"/>
        <v>47</v>
      </c>
      <c r="O116" s="7">
        <f t="shared" si="26"/>
        <v>26</v>
      </c>
      <c r="P116" s="7">
        <f t="shared" si="26"/>
        <v>33</v>
      </c>
      <c r="AD116" s="11">
        <f t="shared" si="19"/>
        <v>3.4011973816621555</v>
      </c>
      <c r="AJ116" s="11">
        <f t="shared" si="20"/>
        <v>27.997</v>
      </c>
      <c r="AK116" s="13">
        <f t="shared" si="21"/>
        <v>4.0120090000000008</v>
      </c>
      <c r="AN116" s="13">
        <f t="shared" si="22"/>
        <v>14.495238095238095</v>
      </c>
      <c r="AO116" s="13">
        <f t="shared" si="23"/>
        <v>240.397641723356</v>
      </c>
      <c r="AR116" s="7">
        <f t="shared" si="24"/>
        <v>30</v>
      </c>
    </row>
    <row r="117" spans="1:44" x14ac:dyDescent="0.2">
      <c r="A117" s="7">
        <f t="shared" si="27"/>
        <v>2019</v>
      </c>
      <c r="B117" s="7">
        <f t="shared" si="28"/>
        <v>7</v>
      </c>
      <c r="C117" s="7" t="str">
        <f t="shared" si="18"/>
        <v>2019-7</v>
      </c>
      <c r="D117" s="7">
        <f>COUNTIFS(Sheet1!G:G,Sheet3!A117,Sheet1!F:F,Sheet3!B117)</f>
        <v>63</v>
      </c>
      <c r="E117" s="7">
        <f t="shared" si="25"/>
        <v>30</v>
      </c>
      <c r="F117" s="7">
        <f t="shared" si="25"/>
        <v>44</v>
      </c>
      <c r="G117" s="7">
        <f t="shared" si="25"/>
        <v>41</v>
      </c>
      <c r="H117" s="7">
        <f t="shared" si="25"/>
        <v>32</v>
      </c>
      <c r="I117" s="7">
        <f t="shared" si="25"/>
        <v>27</v>
      </c>
      <c r="J117" s="7">
        <f t="shared" si="29"/>
        <v>69</v>
      </c>
      <c r="K117" s="7">
        <f t="shared" si="26"/>
        <v>74</v>
      </c>
      <c r="L117" s="7">
        <f t="shared" si="26"/>
        <v>49</v>
      </c>
      <c r="M117" s="7">
        <f t="shared" si="26"/>
        <v>37</v>
      </c>
      <c r="N117" s="7">
        <f t="shared" si="26"/>
        <v>61</v>
      </c>
      <c r="O117" s="7">
        <f t="shared" si="26"/>
        <v>47</v>
      </c>
      <c r="P117" s="7">
        <f t="shared" si="26"/>
        <v>26</v>
      </c>
      <c r="AD117" s="11">
        <f t="shared" si="19"/>
        <v>4.1431347263915326</v>
      </c>
      <c r="AJ117" s="11">
        <f t="shared" si="20"/>
        <v>28.264599999999998</v>
      </c>
      <c r="AK117" s="13">
        <f t="shared" si="21"/>
        <v>1206.54801316</v>
      </c>
      <c r="AN117" s="13">
        <f t="shared" si="22"/>
        <v>14.495238095238095</v>
      </c>
      <c r="AO117" s="13">
        <f t="shared" si="23"/>
        <v>2352.7119274376419</v>
      </c>
      <c r="AR117" s="7">
        <f t="shared" si="24"/>
        <v>63</v>
      </c>
    </row>
    <row r="118" spans="1:44" x14ac:dyDescent="0.2">
      <c r="A118" s="7">
        <f t="shared" si="27"/>
        <v>2019</v>
      </c>
      <c r="B118" s="7">
        <f t="shared" si="28"/>
        <v>8</v>
      </c>
      <c r="C118" s="7" t="str">
        <f t="shared" si="18"/>
        <v>2019-8</v>
      </c>
      <c r="D118" s="7">
        <f>COUNTIFS(Sheet1!G:G,Sheet3!A118,Sheet1!F:F,Sheet3!B118)</f>
        <v>31</v>
      </c>
      <c r="E118" s="7">
        <f t="shared" si="25"/>
        <v>63</v>
      </c>
      <c r="F118" s="7">
        <f t="shared" si="25"/>
        <v>30</v>
      </c>
      <c r="G118" s="7">
        <f t="shared" si="25"/>
        <v>44</v>
      </c>
      <c r="H118" s="7">
        <f t="shared" si="25"/>
        <v>41</v>
      </c>
      <c r="I118" s="7">
        <f t="shared" si="25"/>
        <v>32</v>
      </c>
      <c r="J118" s="7">
        <f t="shared" si="29"/>
        <v>27</v>
      </c>
      <c r="K118" s="7">
        <f t="shared" si="26"/>
        <v>69</v>
      </c>
      <c r="L118" s="7">
        <f t="shared" si="26"/>
        <v>74</v>
      </c>
      <c r="M118" s="7">
        <f t="shared" si="26"/>
        <v>49</v>
      </c>
      <c r="N118" s="7">
        <f t="shared" si="26"/>
        <v>37</v>
      </c>
      <c r="O118" s="7">
        <f t="shared" si="26"/>
        <v>61</v>
      </c>
      <c r="P118" s="7">
        <f t="shared" si="26"/>
        <v>47</v>
      </c>
      <c r="AD118" s="11">
        <f t="shared" si="19"/>
        <v>3.4339872044851463</v>
      </c>
      <c r="AJ118" s="11">
        <f t="shared" si="20"/>
        <v>28.5322</v>
      </c>
      <c r="AK118" s="13">
        <f t="shared" si="21"/>
        <v>6.0900368400000024</v>
      </c>
      <c r="AN118" s="13">
        <f t="shared" si="22"/>
        <v>14.495238095238095</v>
      </c>
      <c r="AO118" s="13">
        <f t="shared" si="23"/>
        <v>272.4071655328799</v>
      </c>
      <c r="AR118" s="7">
        <f t="shared" si="24"/>
        <v>31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18AB6-E42A-452D-BAAD-1BCC72164630}">
  <dimension ref="A1:S33"/>
  <sheetViews>
    <sheetView tabSelected="1" workbookViewId="0">
      <selection sqref="A1:S2"/>
    </sheetView>
  </sheetViews>
  <sheetFormatPr defaultRowHeight="15" x14ac:dyDescent="0.25"/>
  <cols>
    <col min="1" max="18" width="9.140625" style="5"/>
    <col min="19" max="19" width="5.85546875" style="5" customWidth="1"/>
    <col min="20" max="16384" width="9.140625" style="5"/>
  </cols>
  <sheetData>
    <row r="1" spans="1:19" x14ac:dyDescent="0.25">
      <c r="A1" s="22" t="s">
        <v>4366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4"/>
    </row>
    <row r="2" spans="1:19" x14ac:dyDescent="0.25">
      <c r="A2" s="25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7"/>
    </row>
    <row r="3" spans="1:19" x14ac:dyDescent="0.25">
      <c r="A3" s="15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7"/>
    </row>
    <row r="4" spans="1:19" x14ac:dyDescent="0.25">
      <c r="A4" s="15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</row>
    <row r="5" spans="1:19" x14ac:dyDescent="0.25">
      <c r="A5" s="15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7"/>
    </row>
    <row r="6" spans="1:19" x14ac:dyDescent="0.25">
      <c r="A6" s="15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7"/>
    </row>
    <row r="7" spans="1:19" x14ac:dyDescent="0.25">
      <c r="A7" s="15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7"/>
    </row>
    <row r="8" spans="1:19" x14ac:dyDescent="0.25">
      <c r="A8" s="15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7"/>
    </row>
    <row r="9" spans="1:19" x14ac:dyDescent="0.25">
      <c r="A9" s="15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7"/>
    </row>
    <row r="10" spans="1:19" x14ac:dyDescent="0.25">
      <c r="A10" s="15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7"/>
    </row>
    <row r="11" spans="1:19" x14ac:dyDescent="0.25">
      <c r="A11" s="15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7"/>
    </row>
    <row r="12" spans="1:19" x14ac:dyDescent="0.25">
      <c r="A12" s="15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</row>
    <row r="13" spans="1:19" x14ac:dyDescent="0.25">
      <c r="A13" s="15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7"/>
    </row>
    <row r="14" spans="1:19" x14ac:dyDescent="0.25">
      <c r="A14" s="15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7"/>
    </row>
    <row r="15" spans="1:19" x14ac:dyDescent="0.25">
      <c r="A15" s="15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7"/>
    </row>
    <row r="16" spans="1:19" x14ac:dyDescent="0.25">
      <c r="A16" s="15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7"/>
    </row>
    <row r="17" spans="1:19" x14ac:dyDescent="0.25">
      <c r="A17" s="15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7"/>
    </row>
    <row r="18" spans="1:19" x14ac:dyDescent="0.25">
      <c r="A18" s="15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7"/>
    </row>
    <row r="19" spans="1:19" x14ac:dyDescent="0.25">
      <c r="A19" s="15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7"/>
    </row>
    <row r="20" spans="1:19" x14ac:dyDescent="0.2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7"/>
    </row>
    <row r="21" spans="1:19" x14ac:dyDescent="0.25">
      <c r="A21" s="18">
        <f>ROUND(B21,0)</f>
        <v>0</v>
      </c>
      <c r="B21" s="9">
        <f>Sheet3!AF2</f>
        <v>0</v>
      </c>
      <c r="C21" s="8">
        <f t="array" ref="C21:C31">FREQUENCY(Sheet3!D2:D118,Sheet4!B21:B31)</f>
        <v>12</v>
      </c>
      <c r="D21" s="8" t="str">
        <f>CONCATENATE(A21,"-",A22-1)</f>
        <v>0-6</v>
      </c>
      <c r="E21" s="16"/>
      <c r="F21" s="16"/>
      <c r="G21" s="16"/>
      <c r="H21" s="16"/>
      <c r="I21" s="16"/>
      <c r="J21" s="16"/>
      <c r="K21" s="16"/>
      <c r="L21" s="12">
        <f>Sheet3!AG2</f>
        <v>0</v>
      </c>
      <c r="M21" s="8">
        <f t="array" ref="M21:M31">FREQUENCY(Sheet3!AD2:AD118,Sheet4!L21:L31)</f>
        <v>15</v>
      </c>
      <c r="N21" s="16"/>
      <c r="O21" s="16"/>
      <c r="P21" s="16"/>
      <c r="Q21" s="16"/>
      <c r="R21" s="16"/>
      <c r="S21" s="17"/>
    </row>
    <row r="22" spans="1:19" x14ac:dyDescent="0.25">
      <c r="A22" s="18">
        <f t="shared" ref="A22:A31" si="0">ROUND(B22,0)</f>
        <v>7</v>
      </c>
      <c r="B22" s="9">
        <f>B21+Sheet3!$AF$4</f>
        <v>7.4</v>
      </c>
      <c r="C22" s="8">
        <v>61</v>
      </c>
      <c r="D22" s="8" t="str">
        <f t="shared" ref="D22:D30" si="1">CONCATENATE(A22,"-",A23-1)</f>
        <v>7-14</v>
      </c>
      <c r="E22" s="16"/>
      <c r="F22" s="16"/>
      <c r="G22" s="16"/>
      <c r="H22" s="16"/>
      <c r="I22" s="16"/>
      <c r="J22" s="16"/>
      <c r="K22" s="16"/>
      <c r="L22" s="12">
        <f>L21+Sheet3!$AG$4</f>
        <v>0.43040650932041702</v>
      </c>
      <c r="M22" s="8">
        <v>0</v>
      </c>
      <c r="N22" s="16"/>
      <c r="O22" s="16"/>
      <c r="P22" s="16"/>
      <c r="Q22" s="16"/>
      <c r="R22" s="16"/>
      <c r="S22" s="17"/>
    </row>
    <row r="23" spans="1:19" x14ac:dyDescent="0.25">
      <c r="A23" s="18">
        <f t="shared" si="0"/>
        <v>15</v>
      </c>
      <c r="B23" s="9">
        <f>B22+Sheet3!$AF$4</f>
        <v>14.8</v>
      </c>
      <c r="C23" s="8">
        <v>12</v>
      </c>
      <c r="D23" s="8" t="str">
        <f t="shared" si="1"/>
        <v>15-21</v>
      </c>
      <c r="E23" s="16"/>
      <c r="F23" s="16"/>
      <c r="G23" s="16"/>
      <c r="H23" s="16"/>
      <c r="I23" s="16"/>
      <c r="J23" s="16"/>
      <c r="K23" s="16"/>
      <c r="L23" s="12">
        <f>L22+Sheet3!$AG$4</f>
        <v>0.86081301864083404</v>
      </c>
      <c r="M23" s="8">
        <v>9</v>
      </c>
      <c r="N23" s="16"/>
      <c r="O23" s="16"/>
      <c r="P23" s="16"/>
      <c r="Q23" s="16"/>
      <c r="R23" s="16"/>
      <c r="S23" s="17"/>
    </row>
    <row r="24" spans="1:19" x14ac:dyDescent="0.25">
      <c r="A24" s="18">
        <f t="shared" si="0"/>
        <v>22</v>
      </c>
      <c r="B24" s="9">
        <f>B23+Sheet3!$AF$4</f>
        <v>22.200000000000003</v>
      </c>
      <c r="C24" s="8">
        <v>7</v>
      </c>
      <c r="D24" s="8" t="str">
        <f t="shared" si="1"/>
        <v>22-29</v>
      </c>
      <c r="E24" s="16"/>
      <c r="F24" s="16"/>
      <c r="G24" s="16"/>
      <c r="H24" s="16"/>
      <c r="I24" s="16"/>
      <c r="J24" s="16"/>
      <c r="K24" s="16"/>
      <c r="L24" s="12">
        <f>L23+Sheet3!$AG$4</f>
        <v>1.2912195279612511</v>
      </c>
      <c r="M24" s="8">
        <v>8</v>
      </c>
      <c r="N24" s="16"/>
      <c r="O24" s="16"/>
      <c r="P24" s="16"/>
      <c r="Q24" s="16"/>
      <c r="R24" s="16"/>
      <c r="S24" s="17"/>
    </row>
    <row r="25" spans="1:19" x14ac:dyDescent="0.25">
      <c r="A25" s="18">
        <f t="shared" si="0"/>
        <v>30</v>
      </c>
      <c r="B25" s="9">
        <f>B24+Sheet3!$AF$4</f>
        <v>29.6</v>
      </c>
      <c r="C25" s="8">
        <v>6</v>
      </c>
      <c r="D25" s="8" t="str">
        <f t="shared" si="1"/>
        <v>30-36</v>
      </c>
      <c r="E25" s="16"/>
      <c r="F25" s="16"/>
      <c r="G25" s="16"/>
      <c r="H25" s="16"/>
      <c r="I25" s="16"/>
      <c r="J25" s="16"/>
      <c r="K25" s="16"/>
      <c r="L25" s="12">
        <f>L24+Sheet3!$AG$4</f>
        <v>1.7216260372816681</v>
      </c>
      <c r="M25" s="8">
        <v>16</v>
      </c>
      <c r="N25" s="16"/>
      <c r="O25" s="16"/>
      <c r="P25" s="16"/>
      <c r="Q25" s="16"/>
      <c r="R25" s="16"/>
      <c r="S25" s="17"/>
    </row>
    <row r="26" spans="1:19" x14ac:dyDescent="0.25">
      <c r="A26" s="18">
        <f t="shared" si="0"/>
        <v>37</v>
      </c>
      <c r="B26" s="9">
        <f>B25+Sheet3!$AF$4</f>
        <v>37</v>
      </c>
      <c r="C26" s="8">
        <v>7</v>
      </c>
      <c r="D26" s="8" t="str">
        <f t="shared" si="1"/>
        <v>37-43</v>
      </c>
      <c r="E26" s="16"/>
      <c r="F26" s="16"/>
      <c r="G26" s="16"/>
      <c r="H26" s="16"/>
      <c r="I26" s="16"/>
      <c r="J26" s="16"/>
      <c r="K26" s="16"/>
      <c r="L26" s="12">
        <f>L25+Sheet3!$AG$4</f>
        <v>2.1520325466020851</v>
      </c>
      <c r="M26" s="8">
        <v>13</v>
      </c>
      <c r="N26" s="16"/>
      <c r="O26" s="16"/>
      <c r="P26" s="16"/>
      <c r="Q26" s="16"/>
      <c r="R26" s="16"/>
      <c r="S26" s="17"/>
    </row>
    <row r="27" spans="1:19" x14ac:dyDescent="0.25">
      <c r="A27" s="18">
        <f t="shared" si="0"/>
        <v>44</v>
      </c>
      <c r="B27" s="9">
        <f>B26+Sheet3!$AF$4</f>
        <v>44.4</v>
      </c>
      <c r="C27" s="8">
        <v>2</v>
      </c>
      <c r="D27" s="8" t="str">
        <f t="shared" si="1"/>
        <v>44-51</v>
      </c>
      <c r="E27" s="16"/>
      <c r="F27" s="16"/>
      <c r="G27" s="16"/>
      <c r="H27" s="16"/>
      <c r="I27" s="16"/>
      <c r="J27" s="16"/>
      <c r="K27" s="16"/>
      <c r="L27" s="12">
        <f>L26+Sheet3!$AG$4</f>
        <v>2.5824390559225021</v>
      </c>
      <c r="M27" s="8">
        <v>10</v>
      </c>
      <c r="N27" s="16"/>
      <c r="O27" s="16"/>
      <c r="P27" s="16"/>
      <c r="Q27" s="16"/>
      <c r="R27" s="16"/>
      <c r="S27" s="17"/>
    </row>
    <row r="28" spans="1:19" x14ac:dyDescent="0.25">
      <c r="A28" s="18">
        <f t="shared" si="0"/>
        <v>52</v>
      </c>
      <c r="B28" s="9">
        <f>B27+Sheet3!$AF$4</f>
        <v>51.8</v>
      </c>
      <c r="C28" s="8">
        <v>4</v>
      </c>
      <c r="D28" s="8" t="str">
        <f t="shared" si="1"/>
        <v>52-58</v>
      </c>
      <c r="E28" s="16"/>
      <c r="F28" s="16"/>
      <c r="G28" s="16"/>
      <c r="H28" s="16"/>
      <c r="I28" s="16"/>
      <c r="J28" s="16"/>
      <c r="K28" s="16"/>
      <c r="L28" s="12">
        <f>L27+Sheet3!$AG$4</f>
        <v>3.0128455652429191</v>
      </c>
      <c r="M28" s="8">
        <v>8</v>
      </c>
      <c r="N28" s="16"/>
      <c r="O28" s="16"/>
      <c r="P28" s="16"/>
      <c r="Q28" s="16"/>
      <c r="R28" s="16"/>
      <c r="S28" s="17"/>
    </row>
    <row r="29" spans="1:19" x14ac:dyDescent="0.25">
      <c r="A29" s="18">
        <f t="shared" si="0"/>
        <v>59</v>
      </c>
      <c r="B29" s="9">
        <f>B28+Sheet3!$AF$4</f>
        <v>59.199999999999996</v>
      </c>
      <c r="C29" s="8">
        <v>1</v>
      </c>
      <c r="D29" s="8" t="str">
        <f t="shared" si="1"/>
        <v>59-66</v>
      </c>
      <c r="E29" s="16"/>
      <c r="F29" s="16"/>
      <c r="G29" s="16"/>
      <c r="H29" s="16"/>
      <c r="I29" s="16"/>
      <c r="J29" s="16"/>
      <c r="K29" s="16"/>
      <c r="L29" s="12">
        <f>L28+Sheet3!$AG$4</f>
        <v>3.4432520745633362</v>
      </c>
      <c r="M29" s="8">
        <v>9</v>
      </c>
      <c r="N29" s="16"/>
      <c r="O29" s="16"/>
      <c r="P29" s="16"/>
      <c r="Q29" s="16"/>
      <c r="R29" s="16"/>
      <c r="S29" s="17"/>
    </row>
    <row r="30" spans="1:19" x14ac:dyDescent="0.25">
      <c r="A30" s="18">
        <f t="shared" si="0"/>
        <v>67</v>
      </c>
      <c r="B30" s="9">
        <f>B29+Sheet3!$AF$4</f>
        <v>66.599999999999994</v>
      </c>
      <c r="C30" s="8">
        <v>2</v>
      </c>
      <c r="D30" s="8" t="str">
        <f t="shared" si="1"/>
        <v>67-73</v>
      </c>
      <c r="E30" s="16"/>
      <c r="F30" s="16"/>
      <c r="G30" s="16"/>
      <c r="H30" s="16"/>
      <c r="I30" s="16"/>
      <c r="J30" s="16"/>
      <c r="K30" s="16"/>
      <c r="L30" s="12">
        <f>L29+Sheet3!$AG$4</f>
        <v>3.8736585838837532</v>
      </c>
      <c r="M30" s="8">
        <v>9</v>
      </c>
      <c r="N30" s="16"/>
      <c r="O30" s="16"/>
      <c r="P30" s="16"/>
      <c r="Q30" s="16"/>
      <c r="R30" s="16"/>
      <c r="S30" s="17"/>
    </row>
    <row r="31" spans="1:19" ht="15" customHeight="1" x14ac:dyDescent="0.25">
      <c r="A31" s="18">
        <f t="shared" si="0"/>
        <v>74</v>
      </c>
      <c r="B31" s="9">
        <f>B30+Sheet3!$AF$4</f>
        <v>74</v>
      </c>
      <c r="C31" s="8">
        <v>3</v>
      </c>
      <c r="D31" s="8" t="str">
        <f>CONCATENATE("&gt;=",A31)</f>
        <v>&gt;=74</v>
      </c>
      <c r="E31" s="16"/>
      <c r="F31" s="16"/>
      <c r="G31" s="16"/>
      <c r="H31" s="16"/>
      <c r="I31" s="16"/>
      <c r="J31" s="16"/>
      <c r="K31" s="16"/>
      <c r="L31" s="12">
        <f>L30+Sheet3!$AG$4</f>
        <v>4.3040650932041702</v>
      </c>
      <c r="M31" s="8">
        <v>8</v>
      </c>
      <c r="N31" s="16"/>
      <c r="O31" s="16"/>
      <c r="P31" s="16"/>
      <c r="Q31" s="16"/>
      <c r="R31" s="16"/>
      <c r="S31" s="17"/>
    </row>
    <row r="32" spans="1:19" ht="1.5" customHeight="1" thickBot="1" x14ac:dyDescent="0.3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1"/>
    </row>
    <row r="33" ht="15" customHeight="1" x14ac:dyDescent="0.25"/>
  </sheetData>
  <mergeCells count="1">
    <mergeCell ref="A1:S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Vutukuri</dc:creator>
  <cp:lastModifiedBy>Santosh Vutukuri</cp:lastModifiedBy>
  <dcterms:created xsi:type="dcterms:W3CDTF">2019-08-17T09:38:03Z</dcterms:created>
  <dcterms:modified xsi:type="dcterms:W3CDTF">2020-01-04T06:27:32Z</dcterms:modified>
</cp:coreProperties>
</file>