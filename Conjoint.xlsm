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01731\Desktop\"/>
    </mc:Choice>
  </mc:AlternateContent>
  <bookViews>
    <workbookView xWindow="0" yWindow="0" windowWidth="20490" windowHeight="7530" firstSheet="2" activeTab="2"/>
  </bookViews>
  <sheets>
    <sheet name="Sheet1" sheetId="1" state="hidden" r:id="rId1"/>
    <sheet name="Sheet2" sheetId="2" state="hidden" r:id="rId2"/>
    <sheet name="Conjoint" sheetId="4" r:id="rId3"/>
    <sheet name="Sheet3" sheetId="3" state="hidden" r:id="rId4"/>
    <sheet name="Regression" sheetId="5" r:id="rId5"/>
    <sheet name="Market Share" sheetId="7" r:id="rId6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5" l="1"/>
  <c r="H7" i="7"/>
  <c r="H8" i="7"/>
  <c r="H9" i="7"/>
  <c r="H10" i="7"/>
  <c r="H11" i="7"/>
  <c r="H12" i="7"/>
  <c r="H13" i="7"/>
  <c r="H14" i="7"/>
  <c r="H15" i="7"/>
  <c r="H16" i="7"/>
  <c r="H17" i="7"/>
  <c r="B6" i="7"/>
  <c r="B7" i="7"/>
  <c r="B8" i="7"/>
  <c r="B10" i="7"/>
  <c r="B12" i="7"/>
  <c r="B13" i="7"/>
  <c r="B15" i="7"/>
  <c r="B16" i="7"/>
  <c r="H18" i="7"/>
  <c r="H19" i="7"/>
  <c r="D18" i="7"/>
  <c r="D19" i="7"/>
  <c r="E18" i="7"/>
  <c r="E19" i="7"/>
  <c r="F18" i="7"/>
  <c r="F19" i="7"/>
  <c r="H21" i="7"/>
  <c r="F21" i="7"/>
  <c r="E21" i="7"/>
  <c r="D21" i="7"/>
  <c r="F20" i="7"/>
  <c r="E20" i="7"/>
  <c r="D20" i="7"/>
  <c r="F17" i="7"/>
  <c r="E17" i="7"/>
  <c r="D17" i="7"/>
  <c r="F16" i="7"/>
  <c r="E16" i="7"/>
  <c r="D16" i="7"/>
  <c r="F15" i="7"/>
  <c r="E15" i="7"/>
  <c r="D15" i="7"/>
  <c r="F14" i="7"/>
  <c r="E14" i="7"/>
  <c r="D14" i="7"/>
  <c r="F13" i="7"/>
  <c r="E13" i="7"/>
  <c r="D13" i="7"/>
  <c r="F12" i="7"/>
  <c r="E12" i="7"/>
  <c r="D12" i="7"/>
  <c r="F11" i="7"/>
  <c r="E11" i="7"/>
  <c r="D11" i="7"/>
  <c r="F10" i="7"/>
  <c r="E10" i="7"/>
  <c r="D10" i="7"/>
  <c r="F9" i="7"/>
  <c r="E9" i="7"/>
  <c r="D9" i="7"/>
  <c r="F8" i="7"/>
  <c r="E8" i="7"/>
  <c r="D8" i="7"/>
  <c r="F7" i="7"/>
  <c r="E7" i="7"/>
  <c r="D7" i="7"/>
  <c r="F19" i="5"/>
  <c r="X3" i="5"/>
  <c r="U3" i="5"/>
  <c r="V3" i="5"/>
  <c r="W3" i="5"/>
  <c r="X4" i="5"/>
  <c r="W4" i="5"/>
  <c r="V4" i="5"/>
  <c r="U4" i="5"/>
  <c r="X1" i="5"/>
  <c r="W1" i="5"/>
  <c r="V1" i="5"/>
  <c r="U1" i="5"/>
  <c r="K46" i="5"/>
  <c r="K47" i="5"/>
  <c r="K48" i="5"/>
  <c r="K49" i="5"/>
  <c r="K50" i="5"/>
  <c r="K51" i="5"/>
  <c r="K52" i="5"/>
  <c r="K53" i="5"/>
  <c r="M1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4" i="5"/>
  <c r="M4" i="5"/>
  <c r="N4" i="5"/>
  <c r="O4" i="5"/>
  <c r="P4" i="5"/>
  <c r="Q4" i="5"/>
  <c r="R4" i="5"/>
  <c r="S4" i="5"/>
  <c r="M5" i="5"/>
  <c r="N5" i="5"/>
  <c r="O5" i="5"/>
  <c r="P5" i="5"/>
  <c r="Q5" i="5"/>
  <c r="R5" i="5"/>
  <c r="S5" i="5"/>
  <c r="M6" i="5"/>
  <c r="N6" i="5"/>
  <c r="O6" i="5"/>
  <c r="P6" i="5"/>
  <c r="Q6" i="5"/>
  <c r="R6" i="5"/>
  <c r="S6" i="5"/>
  <c r="M7" i="5"/>
  <c r="N7" i="5"/>
  <c r="O7" i="5"/>
  <c r="P7" i="5"/>
  <c r="Q7" i="5"/>
  <c r="R7" i="5"/>
  <c r="S7" i="5"/>
  <c r="M8" i="5"/>
  <c r="N8" i="5"/>
  <c r="O8" i="5"/>
  <c r="P8" i="5"/>
  <c r="Q8" i="5"/>
  <c r="R8" i="5"/>
  <c r="S8" i="5"/>
  <c r="M9" i="5"/>
  <c r="N9" i="5"/>
  <c r="O9" i="5"/>
  <c r="P9" i="5"/>
  <c r="Q9" i="5"/>
  <c r="R9" i="5"/>
  <c r="S9" i="5"/>
  <c r="M10" i="5"/>
  <c r="N10" i="5"/>
  <c r="O10" i="5"/>
  <c r="P10" i="5"/>
  <c r="Q10" i="5"/>
  <c r="R10" i="5"/>
  <c r="S10" i="5"/>
  <c r="M11" i="5"/>
  <c r="N11" i="5"/>
  <c r="O11" i="5"/>
  <c r="P11" i="5"/>
  <c r="Q11" i="5"/>
  <c r="R11" i="5"/>
  <c r="S11" i="5"/>
  <c r="M12" i="5"/>
  <c r="N12" i="5"/>
  <c r="O12" i="5"/>
  <c r="P12" i="5"/>
  <c r="Q12" i="5"/>
  <c r="R12" i="5"/>
  <c r="S12" i="5"/>
  <c r="M13" i="5"/>
  <c r="N13" i="5"/>
  <c r="O13" i="5"/>
  <c r="P13" i="5"/>
  <c r="Q13" i="5"/>
  <c r="R13" i="5"/>
  <c r="S13" i="5"/>
  <c r="M14" i="5"/>
  <c r="N14" i="5"/>
  <c r="O14" i="5"/>
  <c r="P14" i="5"/>
  <c r="Q14" i="5"/>
  <c r="R14" i="5"/>
  <c r="S14" i="5"/>
  <c r="M15" i="5"/>
  <c r="N15" i="5"/>
  <c r="O15" i="5"/>
  <c r="P15" i="5"/>
  <c r="Q15" i="5"/>
  <c r="R15" i="5"/>
  <c r="S15" i="5"/>
  <c r="M16" i="5"/>
  <c r="N16" i="5"/>
  <c r="O16" i="5"/>
  <c r="P16" i="5"/>
  <c r="Q16" i="5"/>
  <c r="R16" i="5"/>
  <c r="S16" i="5"/>
  <c r="M17" i="5"/>
  <c r="N17" i="5"/>
  <c r="O17" i="5"/>
  <c r="P17" i="5"/>
  <c r="Q17" i="5"/>
  <c r="R17" i="5"/>
  <c r="S17" i="5"/>
  <c r="M18" i="5"/>
  <c r="N18" i="5"/>
  <c r="O18" i="5"/>
  <c r="P18" i="5"/>
  <c r="Q18" i="5"/>
  <c r="R18" i="5"/>
  <c r="S18" i="5"/>
  <c r="M19" i="5"/>
  <c r="N19" i="5"/>
  <c r="O19" i="5"/>
  <c r="P19" i="5"/>
  <c r="Q19" i="5"/>
  <c r="R19" i="5"/>
  <c r="S19" i="5"/>
  <c r="M20" i="5"/>
  <c r="N20" i="5"/>
  <c r="O20" i="5"/>
  <c r="P20" i="5"/>
  <c r="Q20" i="5"/>
  <c r="R20" i="5"/>
  <c r="S20" i="5"/>
  <c r="M21" i="5"/>
  <c r="N21" i="5"/>
  <c r="O21" i="5"/>
  <c r="P21" i="5"/>
  <c r="Q21" i="5"/>
  <c r="R21" i="5"/>
  <c r="S21" i="5"/>
  <c r="L3" i="5"/>
  <c r="S3" i="5"/>
  <c r="K3" i="5"/>
  <c r="R3" i="5"/>
  <c r="I3" i="5"/>
  <c r="Q3" i="5"/>
  <c r="H3" i="5"/>
  <c r="P3" i="5"/>
  <c r="F3" i="5"/>
  <c r="O3" i="5"/>
  <c r="D3" i="5"/>
  <c r="N3" i="5"/>
  <c r="C3" i="5"/>
  <c r="M3" i="5"/>
  <c r="K5" i="5"/>
  <c r="L5" i="5"/>
  <c r="K6" i="5"/>
  <c r="L6" i="5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K21" i="5"/>
  <c r="L21" i="5"/>
  <c r="L4" i="5"/>
  <c r="K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4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20" i="5"/>
  <c r="F21" i="5"/>
  <c r="D4" i="5"/>
  <c r="C5" i="5"/>
  <c r="D5" i="5"/>
  <c r="C6" i="5"/>
  <c r="D6" i="5"/>
  <c r="C7" i="5"/>
  <c r="D7" i="5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4" i="5"/>
</calcChain>
</file>

<file path=xl/sharedStrings.xml><?xml version="1.0" encoding="utf-8"?>
<sst xmlns="http://schemas.openxmlformats.org/spreadsheetml/2006/main" count="223" uniqueCount="136">
  <si>
    <t>Brand</t>
  </si>
  <si>
    <t>Visa</t>
  </si>
  <si>
    <t>Mastercard</t>
  </si>
  <si>
    <t>None</t>
  </si>
  <si>
    <t>Interest</t>
  </si>
  <si>
    <t>Credit Limit</t>
  </si>
  <si>
    <t>Interest Rate</t>
  </si>
  <si>
    <t>Find relavant attributes and corresponding levels</t>
  </si>
  <si>
    <t>Example</t>
  </si>
  <si>
    <t>Sample from target population</t>
  </si>
  <si>
    <t>Reduce 27 Products to handy i.e. 9. Statistically Subset Products</t>
  </si>
  <si>
    <t>Ask to rank, rate the individuals</t>
  </si>
  <si>
    <t>Run regression, logit to get utilities</t>
  </si>
  <si>
    <t>5 Products available, what price do my product be set</t>
  </si>
  <si>
    <t>How market cap changes with inclusion</t>
  </si>
  <si>
    <t>Can comeupwith best product and best price</t>
  </si>
  <si>
    <t>Simulation</t>
  </si>
  <si>
    <t>Regression for Utilities</t>
  </si>
  <si>
    <t>Data Collection</t>
  </si>
  <si>
    <t>Profiles Subset</t>
  </si>
  <si>
    <t>Attributes and Levels</t>
  </si>
  <si>
    <t>Rating Based Conjoint</t>
  </si>
  <si>
    <t>27 Products and Segmentation. Which segment cares about which attributes.</t>
  </si>
  <si>
    <t>Levels of attributes must be mutually exclusive. Pick one from list.</t>
  </si>
  <si>
    <t>Sun Roof (Yes, No)</t>
  </si>
  <si>
    <t>Be specific than relative regardng numbers</t>
  </si>
  <si>
    <t>1. Consumer Preference</t>
  </si>
  <si>
    <t>Anything be possible</t>
  </si>
  <si>
    <t>Tread Life</t>
  </si>
  <si>
    <t>Side Wall Cover</t>
  </si>
  <si>
    <t>Black</t>
  </si>
  <si>
    <t>White</t>
  </si>
  <si>
    <t>Price</t>
  </si>
  <si>
    <t>Sears</t>
  </si>
  <si>
    <t>Goodyear</t>
  </si>
  <si>
    <t>Goodrich</t>
  </si>
  <si>
    <t>Products</t>
  </si>
  <si>
    <t>Pick 10 profiles from 54 | Factorial Design</t>
  </si>
  <si>
    <t>ID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</si>
  <si>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</si>
  <si>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</si>
  <si>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</si>
  <si>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</si>
  <si>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</si>
  <si>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</si>
  <si>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</si>
  <si>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</si>
  <si>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Profile 9</t>
  </si>
  <si>
    <t>Profile 10</t>
  </si>
  <si>
    <t>Profile 11</t>
  </si>
  <si>
    <t>Profile 12</t>
  </si>
  <si>
    <t>Profile 13</t>
  </si>
  <si>
    <t>Profile 14</t>
  </si>
  <si>
    <t>Profile 15</t>
  </si>
  <si>
    <t>Profile 16</t>
  </si>
  <si>
    <t>Profile 17</t>
  </si>
  <si>
    <t>Profile 18</t>
  </si>
  <si>
    <t>Person 1</t>
  </si>
  <si>
    <t>Person 2</t>
  </si>
  <si>
    <t>Person 3</t>
  </si>
  <si>
    <t>Person 4</t>
  </si>
  <si>
    <t>Person 5</t>
  </si>
  <si>
    <t>Person 6</t>
  </si>
  <si>
    <t>Person 7</t>
  </si>
  <si>
    <t>Person 8</t>
  </si>
  <si>
    <t>Person 9</t>
  </si>
  <si>
    <t>Person 10</t>
  </si>
  <si>
    <t>Person 11</t>
  </si>
  <si>
    <t>Person 12</t>
  </si>
  <si>
    <t>Person 13</t>
  </si>
  <si>
    <t>Person 14</t>
  </si>
  <si>
    <t>Person 15</t>
  </si>
  <si>
    <t>Person 16</t>
  </si>
  <si>
    <t>Person 17</t>
  </si>
  <si>
    <t>Person 18</t>
  </si>
  <si>
    <t>Person 19</t>
  </si>
  <si>
    <t>Person 20</t>
  </si>
  <si>
    <t>Person 21</t>
  </si>
  <si>
    <t>Person 22</t>
  </si>
  <si>
    <t>Person 23</t>
  </si>
  <si>
    <t>Person 24</t>
  </si>
  <si>
    <t>Person 25</t>
  </si>
  <si>
    <t>Person 26</t>
  </si>
  <si>
    <t>Person 27</t>
  </si>
  <si>
    <t>Person 28</t>
  </si>
  <si>
    <t>Person 29</t>
  </si>
  <si>
    <t>Person 30</t>
  </si>
  <si>
    <t>X1</t>
  </si>
  <si>
    <t>X2</t>
  </si>
  <si>
    <t>X3</t>
  </si>
  <si>
    <t>X4</t>
  </si>
  <si>
    <t>Y</t>
  </si>
  <si>
    <t>SWV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</si>
  <si>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</si>
  <si>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</si>
  <si>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</si>
  <si>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</si>
  <si>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</si>
  <si>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</si>
  <si>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</si>
  <si>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</si>
  <si>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</si>
  <si>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</si>
  <si>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</si>
  <si>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</si>
  <si>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</si>
  <si>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</si>
  <si>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</si>
  <si>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</si>
  <si>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</si>
  <si>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</si>
  <si>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</si>
  <si>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</si>
  <si>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</si>
  <si>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</si>
  <si>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</si>
  <si>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</si>
  <si>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Tread Life.0</t>
  </si>
  <si>
    <t>Tread Life.1</t>
  </si>
  <si>
    <t>SWV.0</t>
  </si>
  <si>
    <t>Price.0</t>
  </si>
  <si>
    <t>Price.1</t>
  </si>
  <si>
    <t>Brand.0</t>
  </si>
  <si>
    <t>Brand.1</t>
  </si>
  <si>
    <t>Miles</t>
  </si>
  <si>
    <t>Color</t>
  </si>
  <si>
    <t>Product 1</t>
  </si>
  <si>
    <t>Product 2</t>
  </si>
  <si>
    <t>Product 3</t>
  </si>
  <si>
    <t>Utility</t>
  </si>
  <si>
    <t>Choice Prob</t>
  </si>
  <si>
    <t>EXP</t>
  </si>
  <si>
    <t>New Product</t>
  </si>
  <si>
    <t>Old</t>
  </si>
  <si>
    <t>New</t>
  </si>
  <si>
    <t>Dummy Varable Regression for Each Person respondent (Next Sheet)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</si>
</sst>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 vertical="top" textRotation="90"/>
    </xf>
    <xf numFmtId="0" fontId="1" fillId="2" borderId="2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0" fillId="2" borderId="1" xfId="0" applyFill="1" applyBorder="1"/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left"/>
    </xf>
    <xf numFmtId="0" fontId="0" fillId="0" borderId="0" xfId="0" applyFill="1" applyBorder="1" applyAlignment="1"/>
    <xf numFmtId="0" fontId="0" fillId="0" borderId="8" xfId="0" applyFill="1" applyBorder="1" applyAlignment="1"/>
    <xf numFmtId="0" fontId="5" fillId="0" borderId="9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Continuous"/>
    </xf>
    <xf numFmtId="0" fontId="0" fillId="7" borderId="1" xfId="0" applyFill="1" applyBorder="1" applyAlignment="1">
      <alignment vertical="center"/>
    </xf>
    <xf numFmtId="0" fontId="3" fillId="12" borderId="6" xfId="0" applyFont="1" applyFill="1" applyBorder="1" applyAlignment="1">
      <alignment vertical="center" wrapText="1"/>
    </xf>
    <xf numFmtId="0" fontId="3" fillId="12" borderId="0" xfId="0" applyFont="1" applyFill="1" applyBorder="1" applyAlignment="1">
      <alignment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left" vertical="center" wrapText="1" indent="1"/>
    </xf>
    <xf numFmtId="9" fontId="0" fillId="7" borderId="1" xfId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left"/>
    </xf>
    <xf numFmtId="0" fontId="1" fillId="9" borderId="1" xfId="0" applyFont="1" applyFill="1" applyBorder="1"/>
    <xf numFmtId="0" fontId="1" fillId="9" borderId="1" xfId="0" applyFont="1" applyFill="1" applyBorder="1" applyAlignment="1">
      <alignment horizontal="right"/>
    </xf>
    <xf numFmtId="0" fontId="1" fillId="11" borderId="1" xfId="0" applyFont="1" applyFill="1" applyBorder="1"/>
    <xf numFmtId="2" fontId="1" fillId="11" borderId="1" xfId="0" applyNumberFormat="1" applyFont="1" applyFill="1" applyBorder="1"/>
    <xf numFmtId="1" fontId="1" fillId="11" borderId="1" xfId="0" applyNumberFormat="1" applyFont="1" applyFill="1" applyBorder="1"/>
    <xf numFmtId="0" fontId="1" fillId="11" borderId="15" xfId="0" applyFont="1" applyFill="1" applyBorder="1"/>
    <xf numFmtId="1" fontId="1" fillId="11" borderId="15" xfId="0" applyNumberFormat="1" applyFont="1" applyFill="1" applyBorder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4" fillId="12" borderId="0" xfId="0" applyFont="1" applyFill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3" fillId="12" borderId="0" xfId="0" applyFont="1" applyFill="1" applyBorder="1" applyAlignment="1">
      <alignment horizontal="center" vertical="center" wrapText="1"/>
    </xf>
    <xf numFmtId="0" fontId="3" fillId="12" borderId="6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Regression!$T$3</c:f>
          <c:strCache>
            <c:ptCount val="1"/>
            <c:pt idx="0">
              <c:v>Person 10</c:v>
            </c:pt>
          </c:strCache>
        </c:strRef>
      </c:tx>
      <c:overlay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5CD-4FA5-AC85-50384071E7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CD-4FA5-AC85-50384071E7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5CD-4FA5-AC85-50384071E79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CD-4FA5-AC85-50384071E7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Regression!$U$1:$X$2</c:f>
              <c:strCache>
                <c:ptCount val="4"/>
                <c:pt idx="0">
                  <c:v>Tread Life</c:v>
                </c:pt>
                <c:pt idx="1">
                  <c:v>SWV</c:v>
                </c:pt>
                <c:pt idx="2">
                  <c:v>Price</c:v>
                </c:pt>
                <c:pt idx="3">
                  <c:v>Brand</c:v>
                </c:pt>
              </c:strCache>
            </c:strRef>
          </c:cat>
          <c:val>
            <c:numRef>
              <c:f>Regression!$U$4:$X$4</c:f>
              <c:numCache>
                <c:formatCode>0%</c:formatCode>
                <c:ptCount val="4"/>
                <c:pt idx="0">
                  <c:v>0.35747931412620865</c:v>
                </c:pt>
                <c:pt idx="1">
                  <c:v>0.15473282823247941</c:v>
                </c:pt>
                <c:pt idx="2">
                  <c:v>0.20521383710497454</c:v>
                </c:pt>
                <c:pt idx="3">
                  <c:v>0.28257402053633746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CD-4FA5-AC85-50384071E79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7</xdr:row>
      <xdr:rowOff>152401</xdr:rowOff>
    </xdr:from>
    <xdr:to>
      <xdr:col>3</xdr:col>
      <xdr:colOff>209550</xdr:colOff>
      <xdr:row>14</xdr:row>
      <xdr:rowOff>76201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485901"/>
          <a:ext cx="2028825" cy="125730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209549</xdr:colOff>
      <xdr:row>1</xdr:row>
      <xdr:rowOff>9525</xdr:rowOff>
    </xdr:from>
    <xdr:to>
      <xdr:col>6</xdr:col>
      <xdr:colOff>466724</xdr:colOff>
      <xdr:row>7</xdr:row>
      <xdr:rowOff>134197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49" y="200025"/>
          <a:ext cx="2085975" cy="1267672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219076</xdr:colOff>
      <xdr:row>7</xdr:row>
      <xdr:rowOff>152400</xdr:rowOff>
    </xdr:from>
    <xdr:to>
      <xdr:col>6</xdr:col>
      <xdr:colOff>466726</xdr:colOff>
      <xdr:row>14</xdr:row>
      <xdr:rowOff>85217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6" y="1485900"/>
          <a:ext cx="2076450" cy="1266317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476250</xdr:colOff>
      <xdr:row>1</xdr:row>
      <xdr:rowOff>9525</xdr:rowOff>
    </xdr:from>
    <xdr:to>
      <xdr:col>10</xdr:col>
      <xdr:colOff>114300</xdr:colOff>
      <xdr:row>7</xdr:row>
      <xdr:rowOff>136354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33850" y="200025"/>
          <a:ext cx="2076450" cy="1269829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485775</xdr:colOff>
      <xdr:row>7</xdr:row>
      <xdr:rowOff>152400</xdr:rowOff>
    </xdr:from>
    <xdr:to>
      <xdr:col>10</xdr:col>
      <xdr:colOff>104775</xdr:colOff>
      <xdr:row>14</xdr:row>
      <xdr:rowOff>84992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3375" y="1485900"/>
          <a:ext cx="2057400" cy="1266092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28575</xdr:colOff>
      <xdr:row>1</xdr:row>
      <xdr:rowOff>19050</xdr:rowOff>
    </xdr:from>
    <xdr:to>
      <xdr:col>3</xdr:col>
      <xdr:colOff>200025</xdr:colOff>
      <xdr:row>7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28575" y="209550"/>
          <a:ext cx="2000250" cy="1257300"/>
          <a:chOff x="28575" y="209550"/>
          <a:chExt cx="2000250" cy="125730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8575" y="209550"/>
            <a:ext cx="2000250" cy="1257300"/>
          </a:xfrm>
          <a:prstGeom prst="rect">
            <a:avLst/>
          </a:prstGeom>
          <a:noFill/>
          <a:ln>
            <a:solidFill>
              <a:schemeClr val="accent1"/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57150" y="607297"/>
            <a:ext cx="809625" cy="233205"/>
          </a:xfrm>
          <a:prstGeom prst="rect">
            <a:avLst/>
          </a:prstGeom>
          <a:solidFill>
            <a:srgbClr val="FFFF0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IN" sz="900" b="1"/>
              <a:t>Interest = 2%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57150" y="866775"/>
            <a:ext cx="1352550" cy="233205"/>
          </a:xfrm>
          <a:prstGeom prst="rect">
            <a:avLst/>
          </a:prstGeom>
          <a:solidFill>
            <a:srgbClr val="FFFF0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IN" sz="900" b="1"/>
              <a:t>Annual Charges = 275/-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57150" y="1123950"/>
            <a:ext cx="1352550" cy="233205"/>
          </a:xfrm>
          <a:prstGeom prst="rect">
            <a:avLst/>
          </a:prstGeom>
          <a:solidFill>
            <a:srgbClr val="FFFF0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IN" sz="900" b="1"/>
              <a:t>Shpping</a:t>
            </a:r>
            <a:r>
              <a:rPr lang="en-IN" sz="900" b="1" baseline="0"/>
              <a:t> Benefits</a:t>
            </a:r>
            <a:r>
              <a:rPr lang="en-IN" sz="900" b="1"/>
              <a:t> = High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57150" y="340597"/>
            <a:ext cx="1352550" cy="233205"/>
          </a:xfrm>
          <a:prstGeom prst="rect">
            <a:avLst/>
          </a:prstGeom>
          <a:solidFill>
            <a:srgbClr val="FFFF0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l"/>
            <a:r>
              <a:rPr lang="en-IN" sz="900" b="1"/>
              <a:t>Brand = HDFC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0</xdr:row>
      <xdr:rowOff>44825</xdr:rowOff>
    </xdr:from>
    <xdr:to>
      <xdr:col>36</xdr:col>
      <xdr:colOff>11206</xdr:colOff>
      <xdr:row>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44825"/>
          <a:ext cx="5524500" cy="739588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212912</xdr:colOff>
      <xdr:row>1</xdr:row>
      <xdr:rowOff>100853</xdr:rowOff>
    </xdr:from>
    <xdr:to>
      <xdr:col>0</xdr:col>
      <xdr:colOff>560294</xdr:colOff>
      <xdr:row>3</xdr:row>
      <xdr:rowOff>134471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2912" y="257735"/>
          <a:ext cx="347382" cy="347383"/>
        </a:xfrm>
        <a:prstGeom prst="ellipse">
          <a:avLst/>
        </a:prstGeom>
        <a:solidFill>
          <a:srgbClr val="FFFF00">
            <a:alpha val="69020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1</a:t>
          </a:r>
        </a:p>
      </xdr:txBody>
    </xdr:sp>
    <xdr:clientData/>
  </xdr:twoCellAnchor>
  <xdr:twoCellAnchor>
    <xdr:from>
      <xdr:col>4</xdr:col>
      <xdr:colOff>526677</xdr:colOff>
      <xdr:row>14</xdr:row>
      <xdr:rowOff>123264</xdr:rowOff>
    </xdr:from>
    <xdr:to>
      <xdr:col>4</xdr:col>
      <xdr:colOff>874059</xdr:colOff>
      <xdr:row>17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07559" y="2510117"/>
          <a:ext cx="347382" cy="347383"/>
        </a:xfrm>
        <a:prstGeom prst="ellipse">
          <a:avLst/>
        </a:prstGeom>
        <a:solidFill>
          <a:srgbClr val="FFFF00">
            <a:alpha val="69020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2</a:t>
          </a:r>
        </a:p>
      </xdr:txBody>
    </xdr:sp>
    <xdr:clientData/>
  </xdr:twoCellAnchor>
  <xdr:twoCellAnchor>
    <xdr:from>
      <xdr:col>25</xdr:col>
      <xdr:colOff>141194</xdr:colOff>
      <xdr:row>16</xdr:row>
      <xdr:rowOff>17928</xdr:rowOff>
    </xdr:from>
    <xdr:to>
      <xdr:col>26</xdr:col>
      <xdr:colOff>230841</xdr:colOff>
      <xdr:row>18</xdr:row>
      <xdr:rowOff>51547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343900" y="2718546"/>
          <a:ext cx="347382" cy="347383"/>
        </a:xfrm>
        <a:prstGeom prst="ellipse">
          <a:avLst/>
        </a:prstGeom>
        <a:solidFill>
          <a:srgbClr val="FFFF00">
            <a:alpha val="69020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3</a:t>
          </a:r>
        </a:p>
      </xdr:txBody>
    </xdr:sp>
    <xdr:clientData/>
  </xdr:twoCellAnchor>
  <xdr:twoCellAnchor>
    <xdr:from>
      <xdr:col>42</xdr:col>
      <xdr:colOff>470648</xdr:colOff>
      <xdr:row>6</xdr:row>
      <xdr:rowOff>67236</xdr:rowOff>
    </xdr:from>
    <xdr:to>
      <xdr:col>43</xdr:col>
      <xdr:colOff>212912</xdr:colOff>
      <xdr:row>6</xdr:row>
      <xdr:rowOff>414619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054854" y="885265"/>
          <a:ext cx="347382" cy="347383"/>
        </a:xfrm>
        <a:prstGeom prst="ellipse">
          <a:avLst/>
        </a:prstGeom>
        <a:solidFill>
          <a:srgbClr val="FFFF00">
            <a:alpha val="69020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4</a:t>
          </a:r>
        </a:p>
      </xdr:txBody>
    </xdr:sp>
    <xdr:clientData/>
  </xdr:twoCellAnchor>
  <xdr:twoCellAnchor editAs="oneCell">
    <xdr:from>
      <xdr:col>41</xdr:col>
      <xdr:colOff>78441</xdr:colOff>
      <xdr:row>9</xdr:row>
      <xdr:rowOff>67236</xdr:rowOff>
    </xdr:from>
    <xdr:to>
      <xdr:col>44</xdr:col>
      <xdr:colOff>537883</xdr:colOff>
      <xdr:row>11</xdr:row>
      <xdr:rowOff>124891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7529" y="1669677"/>
          <a:ext cx="2274795" cy="371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571499</xdr:colOff>
      <xdr:row>9</xdr:row>
      <xdr:rowOff>9525</xdr:rowOff>
    </xdr:from>
    <xdr:to>
      <xdr:col>13</xdr:col>
      <xdr:colOff>304799</xdr:colOff>
      <xdr:row>11</xdr:row>
      <xdr:rowOff>95250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86424" y="1724025"/>
          <a:ext cx="485775" cy="466725"/>
        </a:xfrm>
        <a:prstGeom prst="ellipse">
          <a:avLst/>
        </a:prstGeom>
        <a:solidFill>
          <a:srgbClr val="FFFF00">
            <a:alpha val="69020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4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3</xdr:row>
      <xdr:rowOff>47624</xdr:rowOff>
    </xdr:from>
    <xdr:to>
      <xdr:col>11</xdr:col>
      <xdr:colOff>447675</xdr:colOff>
      <xdr:row>18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5E23FC-FB93-44DA-A8A7-F5920C50D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95250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8D779C69-BA00-4215-9F9B-34611D0AA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266700</xdr:colOff>
      <xdr:row>5</xdr:row>
      <xdr:rowOff>142875</xdr:rowOff>
    </xdr:from>
    <xdr:to>
      <xdr:col>13</xdr:col>
      <xdr:colOff>142875</xdr:colOff>
      <xdr:row>8</xdr:row>
      <xdr:rowOff>123825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2318F080-4008-448B-8045-FB66BFC4592D}"/>
            </a:ext>
          </a:extLst>
        </xdr:cNvPr>
        <xdr:cNvSpPr/>
      </xdr:nvSpPr>
      <xdr:spPr>
        <a:xfrm>
          <a:off x="7124700" y="952500"/>
          <a:ext cx="485775" cy="466725"/>
        </a:xfrm>
        <a:prstGeom prst="ellipse">
          <a:avLst/>
        </a:prstGeom>
        <a:solidFill>
          <a:srgbClr val="FFFF00">
            <a:alpha val="69020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15"/>
  <sheetViews>
    <sheetView workbookViewId="0">
      <selection activeCell="O11" sqref="O11"/>
    </sheetView>
  </sheetViews>
  <sheetFormatPr defaultRowHeight="15" x14ac:dyDescent="0.25"/>
  <cols>
    <col min="1" max="10" width="9.140625" style="2"/>
    <col min="11" max="11" width="2" style="2" customWidth="1"/>
    <col min="12" max="16384" width="9.140625" style="2"/>
  </cols>
  <sheetData>
    <row r="2" spans="1:1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M2" s="2" t="s">
        <v>0</v>
      </c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M3" s="2" t="s">
        <v>1</v>
      </c>
    </row>
    <row r="4" spans="1:1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2" t="s">
        <v>2</v>
      </c>
    </row>
    <row r="5" spans="1:1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M5" s="2" t="s">
        <v>3</v>
      </c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M6" s="2" t="s">
        <v>4</v>
      </c>
    </row>
    <row r="7" spans="1:1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3" ht="7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A8" sqref="A8"/>
    </sheetView>
  </sheetViews>
  <sheetFormatPr defaultRowHeight="12.75" x14ac:dyDescent="0.2"/>
  <cols>
    <col min="1" max="1" width="12" style="3" customWidth="1"/>
    <col min="2" max="2" width="13" style="3" customWidth="1"/>
    <col min="3" max="3" width="10" style="3" bestFit="1" customWidth="1"/>
    <col min="4" max="16384" width="9.140625" style="3"/>
  </cols>
  <sheetData>
    <row r="1" spans="1:3" x14ac:dyDescent="0.2">
      <c r="A1" s="6" t="s">
        <v>0</v>
      </c>
      <c r="B1" s="6" t="s">
        <v>6</v>
      </c>
      <c r="C1" s="6" t="s">
        <v>5</v>
      </c>
    </row>
    <row r="2" spans="1:3" x14ac:dyDescent="0.2">
      <c r="A2" s="4" t="s">
        <v>1</v>
      </c>
      <c r="B2" s="4"/>
      <c r="C2" s="4"/>
    </row>
    <row r="3" spans="1:3" x14ac:dyDescent="0.2">
      <c r="A3" s="4" t="s">
        <v>2</v>
      </c>
      <c r="B3" s="4"/>
      <c r="C3" s="4"/>
    </row>
    <row r="4" spans="1:3" x14ac:dyDescent="0.2">
      <c r="A4" s="4"/>
      <c r="B4" s="4"/>
      <c r="C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27"/>
  <sheetViews>
    <sheetView tabSelected="1" zoomScale="90" zoomScaleNormal="90" workbookViewId="0"/>
  </sheetViews>
  <sheetFormatPr defaultRowHeight="12.75" x14ac:dyDescent="0.2"/>
  <cols>
    <col min="1" max="1" width="8.7109375" style="8" bestFit="1" customWidth="1"/>
    <col min="2" max="2" width="2.7109375" style="8" customWidth="1"/>
    <col min="3" max="3" width="11.140625" style="8" customWidth="1"/>
    <col min="4" max="4" width="2.7109375" style="8" customWidth="1"/>
    <col min="5" max="5" width="13.5703125" style="8" bestFit="1" customWidth="1"/>
    <col min="6" max="6" width="2.7109375" style="8" customWidth="1"/>
    <col min="7" max="7" width="5" style="8" bestFit="1" customWidth="1"/>
    <col min="8" max="8" width="2.7109375" style="8" customWidth="1"/>
    <col min="9" max="9" width="8.5703125" style="8" bestFit="1" customWidth="1"/>
    <col min="10" max="10" width="3" style="8" bestFit="1" customWidth="1"/>
    <col min="11" max="11" width="4.140625" style="8" customWidth="1"/>
    <col min="12" max="41" width="3.85546875" style="8" bestFit="1" customWidth="1"/>
    <col min="42" max="16384" width="9.140625" style="8"/>
  </cols>
  <sheetData>
    <row r="1" spans="1:45" x14ac:dyDescent="0.2">
      <c r="B1" s="10" t="s">
        <v>38</v>
      </c>
      <c r="C1" s="9" t="s">
        <v>28</v>
      </c>
      <c r="D1" s="10" t="s">
        <v>38</v>
      </c>
      <c r="E1" s="9" t="s">
        <v>29</v>
      </c>
      <c r="F1" s="10" t="s">
        <v>38</v>
      </c>
      <c r="G1" s="9" t="s">
        <v>32</v>
      </c>
      <c r="H1" s="10" t="s">
        <v>38</v>
      </c>
      <c r="I1" s="9" t="s">
        <v>0</v>
      </c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</row>
    <row r="2" spans="1:45" x14ac:dyDescent="0.2">
      <c r="B2" s="10">
        <v>0</v>
      </c>
      <c r="C2" s="7">
        <v>30000</v>
      </c>
      <c r="D2" s="10">
        <v>0</v>
      </c>
      <c r="E2" s="7" t="s">
        <v>30</v>
      </c>
      <c r="F2" s="10">
        <v>0</v>
      </c>
      <c r="G2" s="7">
        <v>50</v>
      </c>
      <c r="H2" s="10">
        <v>0</v>
      </c>
      <c r="I2" s="7" t="s">
        <v>33</v>
      </c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</row>
    <row r="3" spans="1:45" x14ac:dyDescent="0.2">
      <c r="B3" s="10">
        <v>1</v>
      </c>
      <c r="C3" s="7">
        <v>40000</v>
      </c>
      <c r="D3" s="10">
        <v>1</v>
      </c>
      <c r="E3" s="7" t="s">
        <v>31</v>
      </c>
      <c r="F3" s="10">
        <v>1</v>
      </c>
      <c r="G3" s="7">
        <v>60</v>
      </c>
      <c r="H3" s="10">
        <v>1</v>
      </c>
      <c r="I3" s="7" t="s">
        <v>34</v>
      </c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</row>
    <row r="4" spans="1:45" x14ac:dyDescent="0.2">
      <c r="B4" s="10">
        <v>2</v>
      </c>
      <c r="C4" s="7">
        <v>50000</v>
      </c>
      <c r="D4" s="10"/>
      <c r="E4" s="7"/>
      <c r="F4" s="10">
        <v>2</v>
      </c>
      <c r="G4" s="7">
        <v>70</v>
      </c>
      <c r="H4" s="10">
        <v>2</v>
      </c>
      <c r="I4" s="7" t="s">
        <v>35</v>
      </c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</row>
    <row r="5" spans="1:45" x14ac:dyDescent="0.2">
      <c r="B5" s="10"/>
      <c r="C5" s="7">
        <v>3</v>
      </c>
      <c r="D5" s="10"/>
      <c r="E5" s="7">
        <v>2</v>
      </c>
      <c r="F5" s="10"/>
      <c r="G5" s="7">
        <v>3</v>
      </c>
      <c r="H5" s="10"/>
      <c r="I5" s="7">
        <v>3</v>
      </c>
      <c r="J5" s="7">
        <v>54</v>
      </c>
      <c r="K5" s="7" t="s">
        <v>36</v>
      </c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</row>
    <row r="6" spans="1:45" ht="2.25" customHeight="1" x14ac:dyDescent="0.2"/>
    <row r="7" spans="1:45" ht="46.5" x14ac:dyDescent="0.2">
      <c r="C7" s="46" t="s">
        <v>37</v>
      </c>
      <c r="D7" s="47"/>
      <c r="E7" s="47"/>
      <c r="F7" s="47"/>
      <c r="G7" s="47"/>
      <c r="H7" s="47"/>
      <c r="I7" s="48"/>
      <c r="L7" s="11" t="s">
        <v>57</v>
      </c>
      <c r="M7" s="11" t="s">
        <v>58</v>
      </c>
      <c r="N7" s="11" t="s">
        <v>59</v>
      </c>
      <c r="O7" s="11" t="s">
        <v>60</v>
      </c>
      <c r="P7" s="11" t="s">
        <v>61</v>
      </c>
      <c r="Q7" s="11" t="s">
        <v>62</v>
      </c>
      <c r="R7" s="11" t="s">
        <v>63</v>
      </c>
      <c r="S7" s="11" t="s">
        <v>64</v>
      </c>
      <c r="T7" s="11" t="s">
        <v>65</v>
      </c>
      <c r="U7" s="11" t="s">
        <v>66</v>
      </c>
      <c r="V7" s="11" t="s">
        <v>67</v>
      </c>
      <c r="W7" s="11" t="s">
        <v>68</v>
      </c>
      <c r="X7" s="11" t="s">
        <v>69</v>
      </c>
      <c r="Y7" s="11" t="s">
        <v>70</v>
      </c>
      <c r="Z7" s="11" t="s">
        <v>71</v>
      </c>
      <c r="AA7" s="11" t="s">
        <v>72</v>
      </c>
      <c r="AB7" s="11" t="s">
        <v>73</v>
      </c>
      <c r="AC7" s="11" t="s">
        <v>74</v>
      </c>
      <c r="AD7" s="11" t="s">
        <v>75</v>
      </c>
      <c r="AE7" s="11" t="s">
        <v>76</v>
      </c>
      <c r="AF7" s="11" t="s">
        <v>77</v>
      </c>
      <c r="AG7" s="11" t="s">
        <v>78</v>
      </c>
      <c r="AH7" s="11" t="s">
        <v>79</v>
      </c>
      <c r="AI7" s="11" t="s">
        <v>80</v>
      </c>
      <c r="AJ7" s="11" t="s">
        <v>81</v>
      </c>
      <c r="AK7" s="11" t="s">
        <v>82</v>
      </c>
      <c r="AL7" s="11" t="s">
        <v>83</v>
      </c>
      <c r="AM7" s="11" t="s">
        <v>84</v>
      </c>
      <c r="AN7" s="11" t="s">
        <v>85</v>
      </c>
      <c r="AO7" s="11" t="s">
        <v>86</v>
      </c>
      <c r="AP7" s="39" t="s">
        <v>135</v>
      </c>
      <c r="AQ7" s="39"/>
      <c r="AR7" s="39"/>
      <c r="AS7" s="39"/>
    </row>
    <row r="8" spans="1:45" ht="3" customHeight="1" x14ac:dyDescent="0.2"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39"/>
      <c r="AQ8" s="39"/>
      <c r="AR8" s="39"/>
      <c r="AS8" s="39"/>
    </row>
    <row r="9" spans="1:45" x14ac:dyDescent="0.2">
      <c r="A9" s="7" t="s">
        <v>39</v>
      </c>
      <c r="B9" s="13">
        <v>2</v>
      </c>
      <c r="C9" s="7">
        <v>50000</v>
      </c>
      <c r="D9" s="13">
        <v>0</v>
      </c>
      <c r="E9" s="7" t="s">
        <v>30</v>
      </c>
      <c r="F9" s="13">
        <v>1</v>
      </c>
      <c r="G9" s="7">
        <v>60</v>
      </c>
      <c r="H9" s="13">
        <v>0</v>
      </c>
      <c r="I9" s="7" t="s">
        <v>33</v>
      </c>
      <c r="J9" s="7">
        <v>10</v>
      </c>
      <c r="K9" s="12" t="s">
        <v>36</v>
      </c>
      <c r="L9" s="7">
        <v>7</v>
      </c>
      <c r="M9" s="7">
        <v>2</v>
      </c>
      <c r="N9" s="7">
        <v>2</v>
      </c>
      <c r="O9" s="7">
        <v>4</v>
      </c>
      <c r="P9" s="7">
        <v>5</v>
      </c>
      <c r="Q9" s="7">
        <v>4</v>
      </c>
      <c r="R9" s="7">
        <v>8</v>
      </c>
      <c r="S9" s="7">
        <v>7</v>
      </c>
      <c r="T9" s="7">
        <v>8</v>
      </c>
      <c r="U9" s="7">
        <v>7</v>
      </c>
      <c r="V9" s="7">
        <v>5</v>
      </c>
      <c r="W9" s="7">
        <v>8</v>
      </c>
      <c r="X9" s="7">
        <v>7</v>
      </c>
      <c r="Y9" s="7">
        <v>2</v>
      </c>
      <c r="Z9" s="7">
        <v>1</v>
      </c>
      <c r="AA9" s="7">
        <v>5</v>
      </c>
      <c r="AB9" s="7">
        <v>6</v>
      </c>
      <c r="AC9" s="7">
        <v>1</v>
      </c>
      <c r="AD9" s="7">
        <v>7</v>
      </c>
      <c r="AE9" s="7">
        <v>7</v>
      </c>
      <c r="AF9" s="7">
        <v>4</v>
      </c>
      <c r="AG9" s="7">
        <v>0</v>
      </c>
      <c r="AH9" s="7">
        <v>8</v>
      </c>
      <c r="AI9" s="7">
        <v>6</v>
      </c>
      <c r="AJ9" s="7">
        <v>0</v>
      </c>
      <c r="AK9" s="7">
        <v>0</v>
      </c>
      <c r="AL9" s="7">
        <v>5</v>
      </c>
      <c r="AM9" s="7">
        <v>8</v>
      </c>
      <c r="AN9" s="7">
        <v>1</v>
      </c>
      <c r="AO9" s="7">
        <v>9</v>
      </c>
      <c r="AP9" s="39"/>
      <c r="AQ9" s="39"/>
      <c r="AR9" s="39"/>
      <c r="AS9" s="39"/>
    </row>
    <row r="10" spans="1:45" x14ac:dyDescent="0.2">
      <c r="A10" s="7" t="s">
        <v>40</v>
      </c>
      <c r="B10" s="13">
        <v>2</v>
      </c>
      <c r="C10" s="7">
        <v>50000</v>
      </c>
      <c r="D10" s="13">
        <v>1</v>
      </c>
      <c r="E10" s="7" t="s">
        <v>31</v>
      </c>
      <c r="F10" s="13">
        <v>1</v>
      </c>
      <c r="G10" s="7">
        <v>60</v>
      </c>
      <c r="H10" s="13">
        <v>0</v>
      </c>
      <c r="I10" s="7" t="s">
        <v>33</v>
      </c>
      <c r="L10" s="7">
        <v>8</v>
      </c>
      <c r="M10" s="7">
        <v>6</v>
      </c>
      <c r="N10" s="7">
        <v>3</v>
      </c>
      <c r="O10" s="7">
        <v>5</v>
      </c>
      <c r="P10" s="7">
        <v>5</v>
      </c>
      <c r="Q10" s="7">
        <v>1</v>
      </c>
      <c r="R10" s="7">
        <v>2</v>
      </c>
      <c r="S10" s="7">
        <v>2</v>
      </c>
      <c r="T10" s="7">
        <v>4</v>
      </c>
      <c r="U10" s="7">
        <v>4</v>
      </c>
      <c r="V10" s="7">
        <v>2</v>
      </c>
      <c r="W10" s="7">
        <v>0</v>
      </c>
      <c r="X10" s="7">
        <v>2</v>
      </c>
      <c r="Y10" s="7">
        <v>5</v>
      </c>
      <c r="Z10" s="7">
        <v>2</v>
      </c>
      <c r="AA10" s="7">
        <v>8</v>
      </c>
      <c r="AB10" s="7">
        <v>1</v>
      </c>
      <c r="AC10" s="7">
        <v>4</v>
      </c>
      <c r="AD10" s="7">
        <v>2</v>
      </c>
      <c r="AE10" s="7">
        <v>7</v>
      </c>
      <c r="AF10" s="7">
        <v>4</v>
      </c>
      <c r="AG10" s="7">
        <v>8</v>
      </c>
      <c r="AH10" s="7">
        <v>5</v>
      </c>
      <c r="AI10" s="7">
        <v>7</v>
      </c>
      <c r="AJ10" s="7">
        <v>5</v>
      </c>
      <c r="AK10" s="7">
        <v>8</v>
      </c>
      <c r="AL10" s="7">
        <v>9</v>
      </c>
      <c r="AM10" s="7">
        <v>0</v>
      </c>
      <c r="AN10" s="7">
        <v>5</v>
      </c>
      <c r="AO10" s="7">
        <v>5</v>
      </c>
      <c r="AP10" s="39"/>
      <c r="AQ10" s="39"/>
      <c r="AR10" s="39"/>
      <c r="AS10" s="39"/>
    </row>
    <row r="11" spans="1:45" x14ac:dyDescent="0.2">
      <c r="A11" s="7" t="s">
        <v>41</v>
      </c>
      <c r="B11" s="13">
        <v>0</v>
      </c>
      <c r="C11" s="7">
        <v>30000</v>
      </c>
      <c r="D11" s="13">
        <v>0</v>
      </c>
      <c r="E11" s="7" t="s">
        <v>30</v>
      </c>
      <c r="F11" s="13">
        <v>0</v>
      </c>
      <c r="G11" s="7">
        <v>50</v>
      </c>
      <c r="H11" s="13">
        <v>0</v>
      </c>
      <c r="I11" s="7" t="s">
        <v>33</v>
      </c>
      <c r="L11" s="7">
        <v>2</v>
      </c>
      <c r="M11" s="7">
        <v>0</v>
      </c>
      <c r="N11" s="7">
        <v>7</v>
      </c>
      <c r="O11" s="7">
        <v>6</v>
      </c>
      <c r="P11" s="7">
        <v>2</v>
      </c>
      <c r="Q11" s="7">
        <v>7</v>
      </c>
      <c r="R11" s="7">
        <v>0</v>
      </c>
      <c r="S11" s="7">
        <v>9</v>
      </c>
      <c r="T11" s="7">
        <v>2</v>
      </c>
      <c r="U11" s="7">
        <v>2</v>
      </c>
      <c r="V11" s="7">
        <v>4</v>
      </c>
      <c r="W11" s="7">
        <v>3</v>
      </c>
      <c r="X11" s="7">
        <v>0</v>
      </c>
      <c r="Y11" s="7">
        <v>1</v>
      </c>
      <c r="Z11" s="7">
        <v>1</v>
      </c>
      <c r="AA11" s="7">
        <v>3</v>
      </c>
      <c r="AB11" s="7">
        <v>8</v>
      </c>
      <c r="AC11" s="7">
        <v>0</v>
      </c>
      <c r="AD11" s="7">
        <v>0</v>
      </c>
      <c r="AE11" s="7">
        <v>8</v>
      </c>
      <c r="AF11" s="7">
        <v>4</v>
      </c>
      <c r="AG11" s="7">
        <v>4</v>
      </c>
      <c r="AH11" s="7">
        <v>3</v>
      </c>
      <c r="AI11" s="7">
        <v>6</v>
      </c>
      <c r="AJ11" s="7">
        <v>9</v>
      </c>
      <c r="AK11" s="7">
        <v>5</v>
      </c>
      <c r="AL11" s="7">
        <v>1</v>
      </c>
      <c r="AM11" s="7">
        <v>5</v>
      </c>
      <c r="AN11" s="7">
        <v>9</v>
      </c>
      <c r="AO11" s="7">
        <v>8</v>
      </c>
      <c r="AP11" s="39"/>
      <c r="AQ11" s="39"/>
      <c r="AR11" s="39"/>
      <c r="AS11" s="39"/>
    </row>
    <row r="12" spans="1:45" x14ac:dyDescent="0.2">
      <c r="A12" s="7" t="s">
        <v>42</v>
      </c>
      <c r="B12" s="13">
        <v>2</v>
      </c>
      <c r="C12" s="7">
        <v>50000</v>
      </c>
      <c r="D12" s="13">
        <v>0</v>
      </c>
      <c r="E12" s="7" t="s">
        <v>30</v>
      </c>
      <c r="F12" s="13">
        <v>1</v>
      </c>
      <c r="G12" s="7">
        <v>60</v>
      </c>
      <c r="H12" s="13">
        <v>2</v>
      </c>
      <c r="I12" s="7" t="s">
        <v>35</v>
      </c>
      <c r="L12" s="7">
        <v>2</v>
      </c>
      <c r="M12" s="7">
        <v>0</v>
      </c>
      <c r="N12" s="7">
        <v>0</v>
      </c>
      <c r="O12" s="7">
        <v>0</v>
      </c>
      <c r="P12" s="7">
        <v>2</v>
      </c>
      <c r="Q12" s="7">
        <v>3</v>
      </c>
      <c r="R12" s="7">
        <v>3</v>
      </c>
      <c r="S12" s="7">
        <v>5</v>
      </c>
      <c r="T12" s="7">
        <v>7</v>
      </c>
      <c r="U12" s="7">
        <v>7</v>
      </c>
      <c r="V12" s="7">
        <v>8</v>
      </c>
      <c r="W12" s="7">
        <v>6</v>
      </c>
      <c r="X12" s="7">
        <v>9</v>
      </c>
      <c r="Y12" s="7">
        <v>5</v>
      </c>
      <c r="Z12" s="7">
        <v>1</v>
      </c>
      <c r="AA12" s="7">
        <v>2</v>
      </c>
      <c r="AB12" s="7">
        <v>4</v>
      </c>
      <c r="AC12" s="7">
        <v>6</v>
      </c>
      <c r="AD12" s="7">
        <v>1</v>
      </c>
      <c r="AE12" s="7">
        <v>5</v>
      </c>
      <c r="AF12" s="7">
        <v>6</v>
      </c>
      <c r="AG12" s="7">
        <v>7</v>
      </c>
      <c r="AH12" s="7">
        <v>8</v>
      </c>
      <c r="AI12" s="7">
        <v>5</v>
      </c>
      <c r="AJ12" s="7">
        <v>2</v>
      </c>
      <c r="AK12" s="7">
        <v>5</v>
      </c>
      <c r="AL12" s="7">
        <v>2</v>
      </c>
      <c r="AM12" s="7">
        <v>0</v>
      </c>
      <c r="AN12" s="7">
        <v>1</v>
      </c>
      <c r="AO12" s="7">
        <v>4</v>
      </c>
      <c r="AP12" s="39"/>
      <c r="AQ12" s="39"/>
      <c r="AR12" s="39"/>
      <c r="AS12" s="39"/>
    </row>
    <row r="13" spans="1:45" x14ac:dyDescent="0.2">
      <c r="A13" s="7" t="s">
        <v>43</v>
      </c>
      <c r="B13" s="13">
        <v>0</v>
      </c>
      <c r="C13" s="7">
        <v>30000</v>
      </c>
      <c r="D13" s="13">
        <v>0</v>
      </c>
      <c r="E13" s="7" t="s">
        <v>30</v>
      </c>
      <c r="F13" s="13">
        <v>2</v>
      </c>
      <c r="G13" s="7">
        <v>70</v>
      </c>
      <c r="H13" s="13">
        <v>0</v>
      </c>
      <c r="I13" s="7" t="s">
        <v>33</v>
      </c>
      <c r="L13" s="7">
        <v>1</v>
      </c>
      <c r="M13" s="7">
        <v>4</v>
      </c>
      <c r="N13" s="7">
        <v>4</v>
      </c>
      <c r="O13" s="7">
        <v>0</v>
      </c>
      <c r="P13" s="7">
        <v>1</v>
      </c>
      <c r="Q13" s="7">
        <v>8</v>
      </c>
      <c r="R13" s="7">
        <v>7</v>
      </c>
      <c r="S13" s="7">
        <v>8</v>
      </c>
      <c r="T13" s="7">
        <v>3</v>
      </c>
      <c r="U13" s="7">
        <v>8</v>
      </c>
      <c r="V13" s="7">
        <v>4</v>
      </c>
      <c r="W13" s="7">
        <v>3</v>
      </c>
      <c r="X13" s="7">
        <v>8</v>
      </c>
      <c r="Y13" s="7">
        <v>5</v>
      </c>
      <c r="Z13" s="7">
        <v>4</v>
      </c>
      <c r="AA13" s="7">
        <v>1</v>
      </c>
      <c r="AB13" s="7">
        <v>1</v>
      </c>
      <c r="AC13" s="7">
        <v>3</v>
      </c>
      <c r="AD13" s="7">
        <v>8</v>
      </c>
      <c r="AE13" s="7">
        <v>3</v>
      </c>
      <c r="AF13" s="7">
        <v>8</v>
      </c>
      <c r="AG13" s="7">
        <v>3</v>
      </c>
      <c r="AH13" s="7">
        <v>2</v>
      </c>
      <c r="AI13" s="7">
        <v>0</v>
      </c>
      <c r="AJ13" s="7">
        <v>3</v>
      </c>
      <c r="AK13" s="7">
        <v>5</v>
      </c>
      <c r="AL13" s="7">
        <v>5</v>
      </c>
      <c r="AM13" s="7">
        <v>3</v>
      </c>
      <c r="AN13" s="7">
        <v>3</v>
      </c>
      <c r="AO13" s="7">
        <v>2</v>
      </c>
    </row>
    <row r="14" spans="1:45" x14ac:dyDescent="0.2">
      <c r="A14" s="7" t="s">
        <v>44</v>
      </c>
      <c r="B14" s="13">
        <v>1</v>
      </c>
      <c r="C14" s="7">
        <v>40000</v>
      </c>
      <c r="D14" s="13">
        <v>0</v>
      </c>
      <c r="E14" s="7" t="s">
        <v>30</v>
      </c>
      <c r="F14" s="13">
        <v>0</v>
      </c>
      <c r="G14" s="7">
        <v>50</v>
      </c>
      <c r="H14" s="13">
        <v>0</v>
      </c>
      <c r="I14" s="7" t="s">
        <v>33</v>
      </c>
      <c r="L14" s="7">
        <v>9</v>
      </c>
      <c r="M14" s="7">
        <v>3</v>
      </c>
      <c r="N14" s="7">
        <v>9</v>
      </c>
      <c r="O14" s="7">
        <v>1</v>
      </c>
      <c r="P14" s="7">
        <v>2</v>
      </c>
      <c r="Q14" s="7">
        <v>6</v>
      </c>
      <c r="R14" s="7">
        <v>8</v>
      </c>
      <c r="S14" s="7">
        <v>8</v>
      </c>
      <c r="T14" s="7">
        <v>3</v>
      </c>
      <c r="U14" s="7">
        <v>5</v>
      </c>
      <c r="V14" s="7">
        <v>3</v>
      </c>
      <c r="W14" s="7">
        <v>1</v>
      </c>
      <c r="X14" s="7">
        <v>5</v>
      </c>
      <c r="Y14" s="7">
        <v>6</v>
      </c>
      <c r="Z14" s="7">
        <v>4</v>
      </c>
      <c r="AA14" s="7">
        <v>5</v>
      </c>
      <c r="AB14" s="7">
        <v>3</v>
      </c>
      <c r="AC14" s="7">
        <v>9</v>
      </c>
      <c r="AD14" s="7">
        <v>7</v>
      </c>
      <c r="AE14" s="7">
        <v>6</v>
      </c>
      <c r="AF14" s="7">
        <v>9</v>
      </c>
      <c r="AG14" s="7">
        <v>3</v>
      </c>
      <c r="AH14" s="7">
        <v>1</v>
      </c>
      <c r="AI14" s="7">
        <v>4</v>
      </c>
      <c r="AJ14" s="7">
        <v>7</v>
      </c>
      <c r="AK14" s="7">
        <v>2</v>
      </c>
      <c r="AL14" s="7">
        <v>0</v>
      </c>
      <c r="AM14" s="7">
        <v>4</v>
      </c>
      <c r="AN14" s="7">
        <v>6</v>
      </c>
      <c r="AO14" s="7">
        <v>5</v>
      </c>
    </row>
    <row r="15" spans="1:45" x14ac:dyDescent="0.2">
      <c r="A15" s="7" t="s">
        <v>45</v>
      </c>
      <c r="B15" s="13">
        <v>1</v>
      </c>
      <c r="C15" s="7">
        <v>40000</v>
      </c>
      <c r="D15" s="13">
        <v>1</v>
      </c>
      <c r="E15" s="7" t="s">
        <v>31</v>
      </c>
      <c r="F15" s="13">
        <v>1</v>
      </c>
      <c r="G15" s="7">
        <v>60</v>
      </c>
      <c r="H15" s="13">
        <v>2</v>
      </c>
      <c r="I15" s="7" t="s">
        <v>35</v>
      </c>
      <c r="L15" s="7">
        <v>8</v>
      </c>
      <c r="M15" s="7">
        <v>7</v>
      </c>
      <c r="N15" s="7">
        <v>0</v>
      </c>
      <c r="O15" s="7">
        <v>7</v>
      </c>
      <c r="P15" s="7">
        <v>4</v>
      </c>
      <c r="Q15" s="7">
        <v>6</v>
      </c>
      <c r="R15" s="7">
        <v>3</v>
      </c>
      <c r="S15" s="7">
        <v>0</v>
      </c>
      <c r="T15" s="7">
        <v>1</v>
      </c>
      <c r="U15" s="7">
        <v>5</v>
      </c>
      <c r="V15" s="7">
        <v>0</v>
      </c>
      <c r="W15" s="7">
        <v>1</v>
      </c>
      <c r="X15" s="7">
        <v>9</v>
      </c>
      <c r="Y15" s="7">
        <v>4</v>
      </c>
      <c r="Z15" s="7">
        <v>5</v>
      </c>
      <c r="AA15" s="7">
        <v>5</v>
      </c>
      <c r="AB15" s="7">
        <v>1</v>
      </c>
      <c r="AC15" s="7">
        <v>6</v>
      </c>
      <c r="AD15" s="7">
        <v>7</v>
      </c>
      <c r="AE15" s="7">
        <v>2</v>
      </c>
      <c r="AF15" s="7">
        <v>4</v>
      </c>
      <c r="AG15" s="7">
        <v>2</v>
      </c>
      <c r="AH15" s="7">
        <v>3</v>
      </c>
      <c r="AI15" s="7">
        <v>6</v>
      </c>
      <c r="AJ15" s="7">
        <v>7</v>
      </c>
      <c r="AK15" s="7">
        <v>8</v>
      </c>
      <c r="AL15" s="7">
        <v>5</v>
      </c>
      <c r="AM15" s="7">
        <v>9</v>
      </c>
      <c r="AN15" s="7">
        <v>1</v>
      </c>
      <c r="AO15" s="7">
        <v>0</v>
      </c>
    </row>
    <row r="16" spans="1:45" x14ac:dyDescent="0.2">
      <c r="A16" s="7" t="s">
        <v>46</v>
      </c>
      <c r="B16" s="13">
        <v>1</v>
      </c>
      <c r="C16" s="7">
        <v>40000</v>
      </c>
      <c r="D16" s="13">
        <v>0</v>
      </c>
      <c r="E16" s="7" t="s">
        <v>30</v>
      </c>
      <c r="F16" s="13">
        <v>1</v>
      </c>
      <c r="G16" s="7">
        <v>60</v>
      </c>
      <c r="H16" s="13">
        <v>1</v>
      </c>
      <c r="I16" s="7" t="s">
        <v>34</v>
      </c>
      <c r="L16" s="7">
        <v>0</v>
      </c>
      <c r="M16" s="7">
        <v>6</v>
      </c>
      <c r="N16" s="7">
        <v>1</v>
      </c>
      <c r="O16" s="7">
        <v>4</v>
      </c>
      <c r="P16" s="7">
        <v>9</v>
      </c>
      <c r="Q16" s="7">
        <v>5</v>
      </c>
      <c r="R16" s="7">
        <v>9</v>
      </c>
      <c r="S16" s="7">
        <v>5</v>
      </c>
      <c r="T16" s="7">
        <v>9</v>
      </c>
      <c r="U16" s="7">
        <v>3</v>
      </c>
      <c r="V16" s="7">
        <v>1</v>
      </c>
      <c r="W16" s="7">
        <v>0</v>
      </c>
      <c r="X16" s="7">
        <v>3</v>
      </c>
      <c r="Y16" s="7">
        <v>7</v>
      </c>
      <c r="Z16" s="7">
        <v>2</v>
      </c>
      <c r="AA16" s="7">
        <v>8</v>
      </c>
      <c r="AB16" s="7">
        <v>9</v>
      </c>
      <c r="AC16" s="7">
        <v>3</v>
      </c>
      <c r="AD16" s="7">
        <v>7</v>
      </c>
      <c r="AE16" s="7">
        <v>7</v>
      </c>
      <c r="AF16" s="7">
        <v>9</v>
      </c>
      <c r="AG16" s="7">
        <v>1</v>
      </c>
      <c r="AH16" s="7">
        <v>7</v>
      </c>
      <c r="AI16" s="7">
        <v>4</v>
      </c>
      <c r="AJ16" s="7">
        <v>4</v>
      </c>
      <c r="AK16" s="7">
        <v>7</v>
      </c>
      <c r="AL16" s="7">
        <v>6</v>
      </c>
      <c r="AM16" s="7">
        <v>0</v>
      </c>
      <c r="AN16" s="7">
        <v>3</v>
      </c>
      <c r="AO16" s="7">
        <v>0</v>
      </c>
    </row>
    <row r="17" spans="1:41" x14ac:dyDescent="0.2">
      <c r="A17" s="7" t="s">
        <v>47</v>
      </c>
      <c r="B17" s="13">
        <v>1</v>
      </c>
      <c r="C17" s="7">
        <v>40000</v>
      </c>
      <c r="D17" s="13">
        <v>0</v>
      </c>
      <c r="E17" s="7" t="s">
        <v>30</v>
      </c>
      <c r="F17" s="13">
        <v>0</v>
      </c>
      <c r="G17" s="7">
        <v>50</v>
      </c>
      <c r="H17" s="13">
        <v>0</v>
      </c>
      <c r="I17" s="7" t="s">
        <v>33</v>
      </c>
      <c r="L17" s="7">
        <v>3</v>
      </c>
      <c r="M17" s="7">
        <v>7</v>
      </c>
      <c r="N17" s="7">
        <v>8</v>
      </c>
      <c r="O17" s="7">
        <v>7</v>
      </c>
      <c r="P17" s="7">
        <v>7</v>
      </c>
      <c r="Q17" s="7">
        <v>3</v>
      </c>
      <c r="R17" s="7">
        <v>6</v>
      </c>
      <c r="S17" s="7">
        <v>2</v>
      </c>
      <c r="T17" s="7">
        <v>0</v>
      </c>
      <c r="U17" s="7">
        <v>7</v>
      </c>
      <c r="V17" s="7">
        <v>9</v>
      </c>
      <c r="W17" s="7">
        <v>5</v>
      </c>
      <c r="X17" s="7">
        <v>0</v>
      </c>
      <c r="Y17" s="7">
        <v>4</v>
      </c>
      <c r="Z17" s="7">
        <v>5</v>
      </c>
      <c r="AA17" s="7">
        <v>0</v>
      </c>
      <c r="AB17" s="7">
        <v>8</v>
      </c>
      <c r="AC17" s="7">
        <v>7</v>
      </c>
      <c r="AD17" s="7">
        <v>9</v>
      </c>
      <c r="AE17" s="7">
        <v>7</v>
      </c>
      <c r="AF17" s="7">
        <v>9</v>
      </c>
      <c r="AG17" s="7">
        <v>4</v>
      </c>
      <c r="AH17" s="7">
        <v>7</v>
      </c>
      <c r="AI17" s="7">
        <v>8</v>
      </c>
      <c r="AJ17" s="7">
        <v>0</v>
      </c>
      <c r="AK17" s="7">
        <v>9</v>
      </c>
      <c r="AL17" s="7">
        <v>2</v>
      </c>
      <c r="AM17" s="7">
        <v>5</v>
      </c>
      <c r="AN17" s="7">
        <v>2</v>
      </c>
      <c r="AO17" s="7">
        <v>6</v>
      </c>
    </row>
    <row r="18" spans="1:41" x14ac:dyDescent="0.2">
      <c r="A18" s="7" t="s">
        <v>48</v>
      </c>
      <c r="B18" s="13">
        <v>0</v>
      </c>
      <c r="C18" s="7">
        <v>30000</v>
      </c>
      <c r="D18" s="13">
        <v>0</v>
      </c>
      <c r="E18" s="7" t="s">
        <v>30</v>
      </c>
      <c r="F18" s="13">
        <v>2</v>
      </c>
      <c r="G18" s="7">
        <v>70</v>
      </c>
      <c r="H18" s="13">
        <v>1</v>
      </c>
      <c r="I18" s="7" t="s">
        <v>34</v>
      </c>
      <c r="L18" s="7">
        <v>3</v>
      </c>
      <c r="M18" s="7">
        <v>6</v>
      </c>
      <c r="N18" s="7">
        <v>9</v>
      </c>
      <c r="O18" s="7">
        <v>5</v>
      </c>
      <c r="P18" s="7">
        <v>5</v>
      </c>
      <c r="Q18" s="7">
        <v>5</v>
      </c>
      <c r="R18" s="7">
        <v>7</v>
      </c>
      <c r="S18" s="7">
        <v>3</v>
      </c>
      <c r="T18" s="7">
        <v>9</v>
      </c>
      <c r="U18" s="7">
        <v>3</v>
      </c>
      <c r="V18" s="7">
        <v>5</v>
      </c>
      <c r="W18" s="7">
        <v>7</v>
      </c>
      <c r="X18" s="7">
        <v>5</v>
      </c>
      <c r="Y18" s="7">
        <v>4</v>
      </c>
      <c r="Z18" s="7">
        <v>0</v>
      </c>
      <c r="AA18" s="7">
        <v>3</v>
      </c>
      <c r="AB18" s="7">
        <v>7</v>
      </c>
      <c r="AC18" s="7">
        <v>1</v>
      </c>
      <c r="AD18" s="7">
        <v>9</v>
      </c>
      <c r="AE18" s="7">
        <v>0</v>
      </c>
      <c r="AF18" s="7">
        <v>3</v>
      </c>
      <c r="AG18" s="7">
        <v>8</v>
      </c>
      <c r="AH18" s="7">
        <v>3</v>
      </c>
      <c r="AI18" s="7">
        <v>7</v>
      </c>
      <c r="AJ18" s="7">
        <v>4</v>
      </c>
      <c r="AK18" s="7">
        <v>6</v>
      </c>
      <c r="AL18" s="7">
        <v>7</v>
      </c>
      <c r="AM18" s="7">
        <v>6</v>
      </c>
      <c r="AN18" s="7">
        <v>5</v>
      </c>
      <c r="AO18" s="7">
        <v>0</v>
      </c>
    </row>
    <row r="19" spans="1:41" x14ac:dyDescent="0.2">
      <c r="A19" s="7" t="s">
        <v>49</v>
      </c>
      <c r="B19" s="13">
        <v>1</v>
      </c>
      <c r="C19" s="7">
        <v>40000</v>
      </c>
      <c r="D19" s="13">
        <v>1</v>
      </c>
      <c r="E19" s="7" t="s">
        <v>31</v>
      </c>
      <c r="F19" s="13">
        <v>0</v>
      </c>
      <c r="G19" s="7">
        <v>50</v>
      </c>
      <c r="H19" s="13">
        <v>2</v>
      </c>
      <c r="I19" s="7" t="s">
        <v>35</v>
      </c>
      <c r="L19" s="7">
        <v>2</v>
      </c>
      <c r="M19" s="7">
        <v>6</v>
      </c>
      <c r="N19" s="7">
        <v>1</v>
      </c>
      <c r="O19" s="7">
        <v>0</v>
      </c>
      <c r="P19" s="7">
        <v>2</v>
      </c>
      <c r="Q19" s="7">
        <v>1</v>
      </c>
      <c r="R19" s="7">
        <v>9</v>
      </c>
      <c r="S19" s="7">
        <v>1</v>
      </c>
      <c r="T19" s="7">
        <v>0</v>
      </c>
      <c r="U19" s="7">
        <v>8</v>
      </c>
      <c r="V19" s="7">
        <v>2</v>
      </c>
      <c r="W19" s="7">
        <v>7</v>
      </c>
      <c r="X19" s="7">
        <v>7</v>
      </c>
      <c r="Y19" s="7">
        <v>0</v>
      </c>
      <c r="Z19" s="7">
        <v>1</v>
      </c>
      <c r="AA19" s="7">
        <v>7</v>
      </c>
      <c r="AB19" s="7">
        <v>3</v>
      </c>
      <c r="AC19" s="7">
        <v>6</v>
      </c>
      <c r="AD19" s="7">
        <v>8</v>
      </c>
      <c r="AE19" s="7">
        <v>3</v>
      </c>
      <c r="AF19" s="7">
        <v>1</v>
      </c>
      <c r="AG19" s="7">
        <v>6</v>
      </c>
      <c r="AH19" s="7">
        <v>5</v>
      </c>
      <c r="AI19" s="7">
        <v>8</v>
      </c>
      <c r="AJ19" s="7">
        <v>4</v>
      </c>
      <c r="AK19" s="7">
        <v>9</v>
      </c>
      <c r="AL19" s="7">
        <v>1</v>
      </c>
      <c r="AM19" s="7">
        <v>3</v>
      </c>
      <c r="AN19" s="7">
        <v>1</v>
      </c>
      <c r="AO19" s="7">
        <v>8</v>
      </c>
    </row>
    <row r="20" spans="1:41" x14ac:dyDescent="0.2">
      <c r="A20" s="7" t="s">
        <v>50</v>
      </c>
      <c r="B20" s="13">
        <v>1</v>
      </c>
      <c r="C20" s="7">
        <v>40000</v>
      </c>
      <c r="D20" s="13">
        <v>0</v>
      </c>
      <c r="E20" s="7" t="s">
        <v>30</v>
      </c>
      <c r="F20" s="13">
        <v>1</v>
      </c>
      <c r="G20" s="7">
        <v>60</v>
      </c>
      <c r="H20" s="13">
        <v>1</v>
      </c>
      <c r="I20" s="7" t="s">
        <v>34</v>
      </c>
      <c r="L20" s="7">
        <v>0</v>
      </c>
      <c r="M20" s="7">
        <v>7</v>
      </c>
      <c r="N20" s="7">
        <v>3</v>
      </c>
      <c r="O20" s="7">
        <v>7</v>
      </c>
      <c r="P20" s="7">
        <v>4</v>
      </c>
      <c r="Q20" s="7">
        <v>5</v>
      </c>
      <c r="R20" s="7">
        <v>7</v>
      </c>
      <c r="S20" s="7">
        <v>4</v>
      </c>
      <c r="T20" s="7">
        <v>9</v>
      </c>
      <c r="U20" s="7">
        <v>2</v>
      </c>
      <c r="V20" s="7">
        <v>8</v>
      </c>
      <c r="W20" s="7">
        <v>6</v>
      </c>
      <c r="X20" s="7">
        <v>6</v>
      </c>
      <c r="Y20" s="7">
        <v>1</v>
      </c>
      <c r="Z20" s="7">
        <v>6</v>
      </c>
      <c r="AA20" s="7">
        <v>4</v>
      </c>
      <c r="AB20" s="7">
        <v>0</v>
      </c>
      <c r="AC20" s="7">
        <v>4</v>
      </c>
      <c r="AD20" s="7">
        <v>6</v>
      </c>
      <c r="AE20" s="7">
        <v>5</v>
      </c>
      <c r="AF20" s="7">
        <v>9</v>
      </c>
      <c r="AG20" s="7">
        <v>9</v>
      </c>
      <c r="AH20" s="7">
        <v>1</v>
      </c>
      <c r="AI20" s="7">
        <v>4</v>
      </c>
      <c r="AJ20" s="7">
        <v>0</v>
      </c>
      <c r="AK20" s="7">
        <v>8</v>
      </c>
      <c r="AL20" s="7">
        <v>7</v>
      </c>
      <c r="AM20" s="7">
        <v>8</v>
      </c>
      <c r="AN20" s="7">
        <v>9</v>
      </c>
      <c r="AO20" s="7">
        <v>2</v>
      </c>
    </row>
    <row r="21" spans="1:41" x14ac:dyDescent="0.2">
      <c r="A21" s="7" t="s">
        <v>51</v>
      </c>
      <c r="B21" s="13">
        <v>1</v>
      </c>
      <c r="C21" s="7">
        <v>40000</v>
      </c>
      <c r="D21" s="13">
        <v>1</v>
      </c>
      <c r="E21" s="7" t="s">
        <v>31</v>
      </c>
      <c r="F21" s="13">
        <v>1</v>
      </c>
      <c r="G21" s="7">
        <v>60</v>
      </c>
      <c r="H21" s="13">
        <v>2</v>
      </c>
      <c r="I21" s="7" t="s">
        <v>35</v>
      </c>
      <c r="L21" s="7">
        <v>7</v>
      </c>
      <c r="M21" s="7">
        <v>6</v>
      </c>
      <c r="N21" s="7">
        <v>8</v>
      </c>
      <c r="O21" s="7">
        <v>4</v>
      </c>
      <c r="P21" s="7">
        <v>7</v>
      </c>
      <c r="Q21" s="7">
        <v>5</v>
      </c>
      <c r="R21" s="7">
        <v>1</v>
      </c>
      <c r="S21" s="7">
        <v>6</v>
      </c>
      <c r="T21" s="7">
        <v>4</v>
      </c>
      <c r="U21" s="7">
        <v>9</v>
      </c>
      <c r="V21" s="7">
        <v>0</v>
      </c>
      <c r="W21" s="7">
        <v>7</v>
      </c>
      <c r="X21" s="7">
        <v>1</v>
      </c>
      <c r="Y21" s="7">
        <v>9</v>
      </c>
      <c r="Z21" s="7">
        <v>4</v>
      </c>
      <c r="AA21" s="7">
        <v>1</v>
      </c>
      <c r="AB21" s="7">
        <v>9</v>
      </c>
      <c r="AC21" s="7">
        <v>1</v>
      </c>
      <c r="AD21" s="7">
        <v>1</v>
      </c>
      <c r="AE21" s="7">
        <v>7</v>
      </c>
      <c r="AF21" s="7">
        <v>3</v>
      </c>
      <c r="AG21" s="7">
        <v>2</v>
      </c>
      <c r="AH21" s="7">
        <v>2</v>
      </c>
      <c r="AI21" s="7">
        <v>9</v>
      </c>
      <c r="AJ21" s="7">
        <v>5</v>
      </c>
      <c r="AK21" s="7">
        <v>7</v>
      </c>
      <c r="AL21" s="7">
        <v>2</v>
      </c>
      <c r="AM21" s="7">
        <v>4</v>
      </c>
      <c r="AN21" s="7">
        <v>7</v>
      </c>
      <c r="AO21" s="7">
        <v>9</v>
      </c>
    </row>
    <row r="22" spans="1:41" x14ac:dyDescent="0.2">
      <c r="A22" s="7" t="s">
        <v>52</v>
      </c>
      <c r="B22" s="13">
        <v>2</v>
      </c>
      <c r="C22" s="7">
        <v>50000</v>
      </c>
      <c r="D22" s="13">
        <v>0</v>
      </c>
      <c r="E22" s="7" t="s">
        <v>30</v>
      </c>
      <c r="F22" s="13">
        <v>1</v>
      </c>
      <c r="G22" s="7">
        <v>60</v>
      </c>
      <c r="H22" s="13">
        <v>1</v>
      </c>
      <c r="I22" s="7" t="s">
        <v>34</v>
      </c>
      <c r="L22" s="7">
        <v>3</v>
      </c>
      <c r="M22" s="7">
        <v>4</v>
      </c>
      <c r="N22" s="7">
        <v>9</v>
      </c>
      <c r="O22" s="7">
        <v>7</v>
      </c>
      <c r="P22" s="7">
        <v>6</v>
      </c>
      <c r="Q22" s="7">
        <v>4</v>
      </c>
      <c r="R22" s="7">
        <v>2</v>
      </c>
      <c r="S22" s="7">
        <v>0</v>
      </c>
      <c r="T22" s="7">
        <v>4</v>
      </c>
      <c r="U22" s="7">
        <v>7</v>
      </c>
      <c r="V22" s="7">
        <v>0</v>
      </c>
      <c r="W22" s="7">
        <v>7</v>
      </c>
      <c r="X22" s="7">
        <v>3</v>
      </c>
      <c r="Y22" s="7">
        <v>8</v>
      </c>
      <c r="Z22" s="7">
        <v>9</v>
      </c>
      <c r="AA22" s="7">
        <v>6</v>
      </c>
      <c r="AB22" s="7">
        <v>0</v>
      </c>
      <c r="AC22" s="7">
        <v>5</v>
      </c>
      <c r="AD22" s="7">
        <v>7</v>
      </c>
      <c r="AE22" s="7">
        <v>4</v>
      </c>
      <c r="AF22" s="7">
        <v>3</v>
      </c>
      <c r="AG22" s="7">
        <v>0</v>
      </c>
      <c r="AH22" s="7">
        <v>7</v>
      </c>
      <c r="AI22" s="7">
        <v>0</v>
      </c>
      <c r="AJ22" s="7">
        <v>5</v>
      </c>
      <c r="AK22" s="7">
        <v>9</v>
      </c>
      <c r="AL22" s="7">
        <v>8</v>
      </c>
      <c r="AM22" s="7">
        <v>7</v>
      </c>
      <c r="AN22" s="7">
        <v>2</v>
      </c>
      <c r="AO22" s="7">
        <v>0</v>
      </c>
    </row>
    <row r="23" spans="1:41" x14ac:dyDescent="0.2">
      <c r="A23" s="7" t="s">
        <v>53</v>
      </c>
      <c r="B23" s="13">
        <v>1</v>
      </c>
      <c r="C23" s="7">
        <v>40000</v>
      </c>
      <c r="D23" s="13">
        <v>0</v>
      </c>
      <c r="E23" s="7" t="s">
        <v>30</v>
      </c>
      <c r="F23" s="13">
        <v>2</v>
      </c>
      <c r="G23" s="7">
        <v>70</v>
      </c>
      <c r="H23" s="13">
        <v>0</v>
      </c>
      <c r="I23" s="7" t="s">
        <v>33</v>
      </c>
      <c r="L23" s="7">
        <v>9</v>
      </c>
      <c r="M23" s="7">
        <v>5</v>
      </c>
      <c r="N23" s="7">
        <v>1</v>
      </c>
      <c r="O23" s="7">
        <v>7</v>
      </c>
      <c r="P23" s="7">
        <v>2</v>
      </c>
      <c r="Q23" s="7">
        <v>8</v>
      </c>
      <c r="R23" s="7">
        <v>2</v>
      </c>
      <c r="S23" s="7">
        <v>2</v>
      </c>
      <c r="T23" s="7">
        <v>8</v>
      </c>
      <c r="U23" s="7">
        <v>3</v>
      </c>
      <c r="V23" s="7">
        <v>4</v>
      </c>
      <c r="W23" s="7">
        <v>0</v>
      </c>
      <c r="X23" s="7">
        <v>2</v>
      </c>
      <c r="Y23" s="7">
        <v>8</v>
      </c>
      <c r="Z23" s="7">
        <v>5</v>
      </c>
      <c r="AA23" s="7">
        <v>3</v>
      </c>
      <c r="AB23" s="7">
        <v>2</v>
      </c>
      <c r="AC23" s="7">
        <v>0</v>
      </c>
      <c r="AD23" s="7">
        <v>3</v>
      </c>
      <c r="AE23" s="7">
        <v>1</v>
      </c>
      <c r="AF23" s="7">
        <v>2</v>
      </c>
      <c r="AG23" s="7">
        <v>2</v>
      </c>
      <c r="AH23" s="7">
        <v>2</v>
      </c>
      <c r="AI23" s="7">
        <v>7</v>
      </c>
      <c r="AJ23" s="7">
        <v>7</v>
      </c>
      <c r="AK23" s="7">
        <v>3</v>
      </c>
      <c r="AL23" s="7">
        <v>4</v>
      </c>
      <c r="AM23" s="7">
        <v>9</v>
      </c>
      <c r="AN23" s="7">
        <v>0</v>
      </c>
      <c r="AO23" s="7">
        <v>3</v>
      </c>
    </row>
    <row r="24" spans="1:41" x14ac:dyDescent="0.2">
      <c r="A24" s="7" t="s">
        <v>54</v>
      </c>
      <c r="B24" s="13">
        <v>2</v>
      </c>
      <c r="C24" s="7">
        <v>50000</v>
      </c>
      <c r="D24" s="13">
        <v>0</v>
      </c>
      <c r="E24" s="7" t="s">
        <v>30</v>
      </c>
      <c r="F24" s="13">
        <v>0</v>
      </c>
      <c r="G24" s="7">
        <v>50</v>
      </c>
      <c r="H24" s="13">
        <v>0</v>
      </c>
      <c r="I24" s="7" t="s">
        <v>33</v>
      </c>
      <c r="L24" s="7">
        <v>9</v>
      </c>
      <c r="M24" s="7">
        <v>3</v>
      </c>
      <c r="N24" s="7">
        <v>6</v>
      </c>
      <c r="O24" s="7">
        <v>7</v>
      </c>
      <c r="P24" s="7">
        <v>5</v>
      </c>
      <c r="Q24" s="7">
        <v>5</v>
      </c>
      <c r="R24" s="7">
        <v>4</v>
      </c>
      <c r="S24" s="7">
        <v>2</v>
      </c>
      <c r="T24" s="7">
        <v>5</v>
      </c>
      <c r="U24" s="7">
        <v>8</v>
      </c>
      <c r="V24" s="7">
        <v>3</v>
      </c>
      <c r="W24" s="7">
        <v>1</v>
      </c>
      <c r="X24" s="7">
        <v>7</v>
      </c>
      <c r="Y24" s="7">
        <v>6</v>
      </c>
      <c r="Z24" s="7">
        <v>8</v>
      </c>
      <c r="AA24" s="7">
        <v>5</v>
      </c>
      <c r="AB24" s="7">
        <v>9</v>
      </c>
      <c r="AC24" s="7">
        <v>6</v>
      </c>
      <c r="AD24" s="7">
        <v>1</v>
      </c>
      <c r="AE24" s="7">
        <v>6</v>
      </c>
      <c r="AF24" s="7">
        <v>2</v>
      </c>
      <c r="AG24" s="7">
        <v>7</v>
      </c>
      <c r="AH24" s="7">
        <v>1</v>
      </c>
      <c r="AI24" s="7">
        <v>9</v>
      </c>
      <c r="AJ24" s="7">
        <v>8</v>
      </c>
      <c r="AK24" s="7">
        <v>2</v>
      </c>
      <c r="AL24" s="7">
        <v>4</v>
      </c>
      <c r="AM24" s="7">
        <v>8</v>
      </c>
      <c r="AN24" s="7">
        <v>2</v>
      </c>
      <c r="AO24" s="7">
        <v>6</v>
      </c>
    </row>
    <row r="25" spans="1:41" x14ac:dyDescent="0.2">
      <c r="A25" s="7" t="s">
        <v>55</v>
      </c>
      <c r="B25" s="13">
        <v>2</v>
      </c>
      <c r="C25" s="7">
        <v>50000</v>
      </c>
      <c r="D25" s="13">
        <v>0</v>
      </c>
      <c r="E25" s="7" t="s">
        <v>30</v>
      </c>
      <c r="F25" s="13">
        <v>0</v>
      </c>
      <c r="G25" s="7">
        <v>50</v>
      </c>
      <c r="H25" s="13">
        <v>1</v>
      </c>
      <c r="I25" s="7" t="s">
        <v>34</v>
      </c>
      <c r="L25" s="7">
        <v>3</v>
      </c>
      <c r="M25" s="7">
        <v>7</v>
      </c>
      <c r="N25" s="7">
        <v>2</v>
      </c>
      <c r="O25" s="7">
        <v>8</v>
      </c>
      <c r="P25" s="7">
        <v>0</v>
      </c>
      <c r="Q25" s="7">
        <v>6</v>
      </c>
      <c r="R25" s="7">
        <v>0</v>
      </c>
      <c r="S25" s="7">
        <v>8</v>
      </c>
      <c r="T25" s="7">
        <v>2</v>
      </c>
      <c r="U25" s="7">
        <v>2</v>
      </c>
      <c r="V25" s="7">
        <v>1</v>
      </c>
      <c r="W25" s="7">
        <v>7</v>
      </c>
      <c r="X25" s="7">
        <v>5</v>
      </c>
      <c r="Y25" s="7">
        <v>5</v>
      </c>
      <c r="Z25" s="7">
        <v>6</v>
      </c>
      <c r="AA25" s="7">
        <v>8</v>
      </c>
      <c r="AB25" s="7">
        <v>3</v>
      </c>
      <c r="AC25" s="7">
        <v>5</v>
      </c>
      <c r="AD25" s="7">
        <v>6</v>
      </c>
      <c r="AE25" s="7">
        <v>4</v>
      </c>
      <c r="AF25" s="7">
        <v>4</v>
      </c>
      <c r="AG25" s="7">
        <v>4</v>
      </c>
      <c r="AH25" s="7">
        <v>0</v>
      </c>
      <c r="AI25" s="7">
        <v>0</v>
      </c>
      <c r="AJ25" s="7">
        <v>6</v>
      </c>
      <c r="AK25" s="7">
        <v>5</v>
      </c>
      <c r="AL25" s="7">
        <v>0</v>
      </c>
      <c r="AM25" s="7">
        <v>5</v>
      </c>
      <c r="AN25" s="7">
        <v>5</v>
      </c>
      <c r="AO25" s="7">
        <v>0</v>
      </c>
    </row>
    <row r="26" spans="1:41" x14ac:dyDescent="0.2">
      <c r="A26" s="7" t="s">
        <v>56</v>
      </c>
      <c r="B26" s="13">
        <v>1</v>
      </c>
      <c r="C26" s="7">
        <v>40000</v>
      </c>
      <c r="D26" s="13">
        <v>1</v>
      </c>
      <c r="E26" s="7" t="s">
        <v>31</v>
      </c>
      <c r="F26" s="13">
        <v>0</v>
      </c>
      <c r="G26" s="7">
        <v>50</v>
      </c>
      <c r="H26" s="13">
        <v>2</v>
      </c>
      <c r="I26" s="7" t="s">
        <v>35</v>
      </c>
      <c r="L26" s="7">
        <v>1</v>
      </c>
      <c r="M26" s="7">
        <v>3</v>
      </c>
      <c r="N26" s="7">
        <v>5</v>
      </c>
      <c r="O26" s="7">
        <v>9</v>
      </c>
      <c r="P26" s="7">
        <v>4</v>
      </c>
      <c r="Q26" s="7">
        <v>4</v>
      </c>
      <c r="R26" s="7">
        <v>8</v>
      </c>
      <c r="S26" s="7">
        <v>4</v>
      </c>
      <c r="T26" s="7">
        <v>5</v>
      </c>
      <c r="U26" s="7">
        <v>7</v>
      </c>
      <c r="V26" s="7">
        <v>2</v>
      </c>
      <c r="W26" s="7">
        <v>0</v>
      </c>
      <c r="X26" s="7">
        <v>0</v>
      </c>
      <c r="Y26" s="7">
        <v>3</v>
      </c>
      <c r="Z26" s="7">
        <v>4</v>
      </c>
      <c r="AA26" s="7">
        <v>4</v>
      </c>
      <c r="AB26" s="7">
        <v>4</v>
      </c>
      <c r="AC26" s="7">
        <v>8</v>
      </c>
      <c r="AD26" s="7">
        <v>1</v>
      </c>
      <c r="AE26" s="7">
        <v>9</v>
      </c>
      <c r="AF26" s="7">
        <v>3</v>
      </c>
      <c r="AG26" s="7">
        <v>2</v>
      </c>
      <c r="AH26" s="7">
        <v>9</v>
      </c>
      <c r="AI26" s="7">
        <v>2</v>
      </c>
      <c r="AJ26" s="7">
        <v>7</v>
      </c>
      <c r="AK26" s="7">
        <v>0</v>
      </c>
      <c r="AL26" s="7">
        <v>9</v>
      </c>
      <c r="AM26" s="7">
        <v>5</v>
      </c>
      <c r="AN26" s="7">
        <v>5</v>
      </c>
      <c r="AO26" s="7">
        <v>3</v>
      </c>
    </row>
    <row r="27" spans="1:41" x14ac:dyDescent="0.2">
      <c r="B27" s="8" t="s">
        <v>87</v>
      </c>
      <c r="D27" s="8" t="s">
        <v>88</v>
      </c>
      <c r="F27" s="8" t="s">
        <v>89</v>
      </c>
      <c r="H27" s="8" t="s">
        <v>90</v>
      </c>
      <c r="L27" s="8" t="s">
        <v>91</v>
      </c>
    </row>
  </sheetData>
  <mergeCells count="2">
    <mergeCell ref="L1:AO5"/>
    <mergeCell ref="AP7:AS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J14"/>
  <sheetViews>
    <sheetView workbookViewId="0">
      <selection activeCell="G13" sqref="G13"/>
    </sheetView>
  </sheetViews>
  <sheetFormatPr defaultRowHeight="12.75" x14ac:dyDescent="0.2"/>
  <cols>
    <col min="1" max="1" width="3" style="3" customWidth="1"/>
    <col min="2" max="2" width="4.28515625" style="3" customWidth="1"/>
    <col min="3" max="3" width="52.5703125" style="3" bestFit="1" customWidth="1"/>
    <col min="4" max="4" width="26.140625" style="3" bestFit="1" customWidth="1"/>
    <col min="5" max="16384" width="9.140625" style="3"/>
  </cols>
  <sheetData>
    <row r="1" spans="2:10" x14ac:dyDescent="0.2">
      <c r="D1" s="3" t="s">
        <v>8</v>
      </c>
    </row>
    <row r="2" spans="2:10" x14ac:dyDescent="0.2">
      <c r="B2" s="5">
        <v>1</v>
      </c>
      <c r="C2" s="4" t="s">
        <v>7</v>
      </c>
      <c r="D2" s="4" t="s">
        <v>20</v>
      </c>
      <c r="E2" s="3" t="s">
        <v>22</v>
      </c>
    </row>
    <row r="3" spans="2:10" x14ac:dyDescent="0.2">
      <c r="B3" s="5">
        <v>2</v>
      </c>
      <c r="C3" s="3" t="s">
        <v>10</v>
      </c>
      <c r="D3" s="4" t="s">
        <v>19</v>
      </c>
    </row>
    <row r="4" spans="2:10" x14ac:dyDescent="0.2">
      <c r="B4" s="5">
        <v>3</v>
      </c>
      <c r="C4" s="4" t="s">
        <v>9</v>
      </c>
      <c r="D4" s="4" t="s">
        <v>18</v>
      </c>
    </row>
    <row r="5" spans="2:10" x14ac:dyDescent="0.2">
      <c r="B5" s="5">
        <v>4</v>
      </c>
      <c r="C5" s="4" t="s">
        <v>11</v>
      </c>
      <c r="D5" s="4" t="s">
        <v>18</v>
      </c>
      <c r="E5" s="3" t="s">
        <v>21</v>
      </c>
    </row>
    <row r="6" spans="2:10" x14ac:dyDescent="0.2">
      <c r="B6" s="5">
        <v>5</v>
      </c>
      <c r="C6" s="4" t="s">
        <v>12</v>
      </c>
      <c r="D6" s="4" t="s">
        <v>17</v>
      </c>
    </row>
    <row r="7" spans="2:10" x14ac:dyDescent="0.2">
      <c r="B7" s="5">
        <v>7</v>
      </c>
      <c r="C7" s="4" t="s">
        <v>13</v>
      </c>
      <c r="D7" s="4" t="s">
        <v>16</v>
      </c>
    </row>
    <row r="8" spans="2:10" x14ac:dyDescent="0.2">
      <c r="B8" s="5">
        <v>8</v>
      </c>
      <c r="C8" s="4" t="s">
        <v>14</v>
      </c>
      <c r="D8" s="4" t="s">
        <v>16</v>
      </c>
    </row>
    <row r="9" spans="2:10" x14ac:dyDescent="0.2">
      <c r="B9" s="5">
        <v>9</v>
      </c>
      <c r="C9" s="4" t="s">
        <v>15</v>
      </c>
      <c r="D9" s="4" t="s">
        <v>16</v>
      </c>
    </row>
    <row r="10" spans="2:10" x14ac:dyDescent="0.2">
      <c r="B10" s="5">
        <v>10</v>
      </c>
      <c r="C10" s="4" t="s">
        <v>23</v>
      </c>
      <c r="D10" s="4" t="s">
        <v>24</v>
      </c>
    </row>
    <row r="11" spans="2:10" x14ac:dyDescent="0.2">
      <c r="B11" s="5">
        <v>11</v>
      </c>
      <c r="C11" s="4" t="s">
        <v>25</v>
      </c>
      <c r="D11" s="4"/>
    </row>
    <row r="12" spans="2:10" x14ac:dyDescent="0.2">
      <c r="B12" s="5"/>
      <c r="C12" s="4"/>
      <c r="D12" s="4"/>
      <c r="G12" s="3" t="s">
        <v>26</v>
      </c>
      <c r="J12" s="3" t="s">
        <v>27</v>
      </c>
    </row>
    <row r="13" spans="2:10" x14ac:dyDescent="0.2">
      <c r="B13" s="5"/>
      <c r="C13" s="4"/>
      <c r="D13" s="4"/>
    </row>
    <row r="14" spans="2:10" x14ac:dyDescent="0.2">
      <c r="B14" s="5"/>
      <c r="C14" s="4"/>
      <c r="D1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6"/>
  <sheetViews>
    <sheetView workbookViewId="0">
      <pane xSplit="12" ySplit="3" topLeftCell="M4" activePane="bottomRight" state="frozen"/>
      <selection pane="topRight" activeCell="M1" sqref="M1"/>
      <selection pane="bottomLeft" activeCell="A4" sqref="A4"/>
      <selection pane="bottomRight" activeCell="H1" sqref="H1:I1"/>
    </sheetView>
  </sheetViews>
  <sheetFormatPr defaultRowHeight="15" x14ac:dyDescent="0.25"/>
  <cols>
    <col min="1" max="1" width="9.140625" style="1"/>
    <col min="2" max="2" width="3.42578125" style="1" customWidth="1"/>
    <col min="3" max="3" width="9.42578125" style="1" customWidth="1"/>
    <col min="4" max="4" width="9.85546875" style="1" customWidth="1"/>
    <col min="5" max="5" width="2" style="1" bestFit="1" customWidth="1"/>
    <col min="6" max="6" width="8" style="1" customWidth="1"/>
    <col min="7" max="7" width="2" style="1" bestFit="1" customWidth="1"/>
    <col min="8" max="9" width="7" style="1" bestFit="1" customWidth="1"/>
    <col min="10" max="10" width="2" style="1" bestFit="1" customWidth="1"/>
    <col min="11" max="11" width="9.140625" style="1" customWidth="1"/>
    <col min="12" max="12" width="7.7109375" style="1" bestFit="1" customWidth="1"/>
    <col min="13" max="14" width="11.28515625" style="1" bestFit="1" customWidth="1"/>
    <col min="15" max="15" width="6.7109375" style="1" bestFit="1" customWidth="1"/>
    <col min="16" max="17" width="7" style="1" bestFit="1" customWidth="1"/>
    <col min="18" max="19" width="7.7109375" style="1" customWidth="1"/>
    <col min="20" max="20" width="9.5703125" style="1" bestFit="1" customWidth="1"/>
    <col min="21" max="21" width="9.7109375" style="1" bestFit="1" customWidth="1"/>
    <col min="22" max="22" width="5.85546875" style="1" bestFit="1" customWidth="1"/>
    <col min="23" max="23" width="5.42578125" style="1" bestFit="1" customWidth="1"/>
    <col min="24" max="24" width="6.140625" style="1" bestFit="1" customWidth="1"/>
    <col min="25" max="16384" width="9.140625" style="1"/>
  </cols>
  <sheetData>
    <row r="1" spans="1:24" ht="15" customHeight="1" x14ac:dyDescent="0.25">
      <c r="C1" s="41" t="s">
        <v>28</v>
      </c>
      <c r="D1" s="41"/>
      <c r="E1" s="17"/>
      <c r="F1" s="16" t="s">
        <v>92</v>
      </c>
      <c r="G1" s="16"/>
      <c r="H1" s="41" t="s">
        <v>32</v>
      </c>
      <c r="I1" s="41"/>
      <c r="J1" s="17"/>
      <c r="K1" s="41" t="s">
        <v>0</v>
      </c>
      <c r="L1" s="41"/>
      <c r="M1" s="42" t="str">
        <f>CONCATENATE("Y = ",K46," + ",K47," + ",K48," + ",K49," + ",K50," + ",K51," + ",K52," + ",K53)</f>
        <v>Y = 8.22 + Tread Life.0 (-5.27) + Tread Life.1 (-1.29) + SWV.0 (-2.28) + Price.0 (-3.02) + Price.1 (-2.54) + Brand.0 (3.72) + Brand.1 (-0.44)</v>
      </c>
      <c r="N1" s="42"/>
      <c r="O1" s="42"/>
      <c r="P1" s="42"/>
      <c r="Q1" s="42"/>
      <c r="R1" s="42"/>
      <c r="S1" s="42"/>
      <c r="T1" s="26"/>
      <c r="U1" s="40" t="str">
        <f>C1</f>
        <v>Tread Life</v>
      </c>
      <c r="V1" s="40" t="str">
        <f>F1</f>
        <v>SWV</v>
      </c>
      <c r="W1" s="40" t="str">
        <f>H1</f>
        <v>Price</v>
      </c>
      <c r="X1" s="40" t="str">
        <f>K1</f>
        <v>Brand</v>
      </c>
    </row>
    <row r="2" spans="1:24" x14ac:dyDescent="0.25">
      <c r="A2" s="18"/>
      <c r="B2" s="18"/>
      <c r="C2" s="15">
        <v>0</v>
      </c>
      <c r="D2" s="15">
        <v>1</v>
      </c>
      <c r="E2" s="15"/>
      <c r="F2" s="15">
        <v>0</v>
      </c>
      <c r="G2" s="15"/>
      <c r="H2" s="15">
        <v>0</v>
      </c>
      <c r="I2" s="15">
        <v>1</v>
      </c>
      <c r="J2" s="15"/>
      <c r="K2" s="15">
        <v>0</v>
      </c>
      <c r="L2" s="15">
        <v>1</v>
      </c>
      <c r="M2" s="43"/>
      <c r="N2" s="43"/>
      <c r="O2" s="43"/>
      <c r="P2" s="43"/>
      <c r="Q2" s="43"/>
      <c r="R2" s="43"/>
      <c r="S2" s="43"/>
      <c r="T2" s="25"/>
      <c r="U2" s="40"/>
      <c r="V2" s="40"/>
      <c r="W2" s="40"/>
      <c r="X2" s="40"/>
    </row>
    <row r="3" spans="1:24" x14ac:dyDescent="0.25">
      <c r="A3" s="18"/>
      <c r="B3" s="18"/>
      <c r="C3" s="15" t="str">
        <f>CONCATENATE($C$1,".",C2)</f>
        <v>Tread Life.0</v>
      </c>
      <c r="D3" s="15" t="str">
        <f>CONCATENATE($C$1,".",D2)</f>
        <v>Tread Life.1</v>
      </c>
      <c r="E3" s="15"/>
      <c r="F3" s="15" t="str">
        <f>CONCATENATE($F$1,".",F2)</f>
        <v>SWV.0</v>
      </c>
      <c r="G3" s="15"/>
      <c r="H3" s="15" t="str">
        <f>CONCATENATE($H$1,".",H2)</f>
        <v>Price.0</v>
      </c>
      <c r="I3" s="15" t="str">
        <f>CONCATENATE($H$1,".",I2)</f>
        <v>Price.1</v>
      </c>
      <c r="J3" s="15"/>
      <c r="K3" s="15" t="str">
        <f>CONCATENATE($K$1,".",K2)</f>
        <v>Brand.0</v>
      </c>
      <c r="L3" s="15" t="str">
        <f>CONCATENATE($K$1,".",L2)</f>
        <v>Brand.1</v>
      </c>
      <c r="M3" s="15" t="str">
        <f>C3</f>
        <v>Tread Life.0</v>
      </c>
      <c r="N3" s="15" t="str">
        <f>D3</f>
        <v>Tread Life.1</v>
      </c>
      <c r="O3" s="15" t="str">
        <f>F3</f>
        <v>SWV.0</v>
      </c>
      <c r="P3" s="15" t="str">
        <f>H3</f>
        <v>Price.0</v>
      </c>
      <c r="Q3" s="15" t="str">
        <f>I3</f>
        <v>Price.1</v>
      </c>
      <c r="R3" s="15" t="str">
        <f>K3</f>
        <v>Brand.0</v>
      </c>
      <c r="S3" s="15" t="str">
        <f>L3</f>
        <v>Brand.1</v>
      </c>
      <c r="T3" s="24" t="str">
        <f>'Market Share'!A1</f>
        <v>Person 10</v>
      </c>
      <c r="U3" s="27">
        <f>MAX(B47:B48,0)-MIN(B47:B48,0)</f>
        <v>5.2675358060962125</v>
      </c>
      <c r="V3" s="28">
        <f>MAX(B49,0)-MIN(B49,0)</f>
        <v>2.2800220345207491</v>
      </c>
      <c r="W3" s="27">
        <f>MAX(B50:B51,0)-MIN(B50:B51,0)</f>
        <v>3.0238707308116024</v>
      </c>
      <c r="X3" s="27">
        <f>MAX(B52:B53,0)-MIN(B52:B53,0)</f>
        <v>4.1637899375688567</v>
      </c>
    </row>
    <row r="4" spans="1:24" x14ac:dyDescent="0.25">
      <c r="A4" s="19" t="s">
        <v>39</v>
      </c>
      <c r="B4" s="7">
        <v>2</v>
      </c>
      <c r="C4" s="14">
        <f>IF($B4=C$2,1,0)</f>
        <v>0</v>
      </c>
      <c r="D4" s="14">
        <f>IF($B4=D$2,1,0)</f>
        <v>0</v>
      </c>
      <c r="E4" s="7">
        <v>0</v>
      </c>
      <c r="F4" s="14">
        <f>IF($E4=F$2,1,0)</f>
        <v>1</v>
      </c>
      <c r="G4" s="7">
        <v>1</v>
      </c>
      <c r="H4" s="14">
        <f>IF($G4=H$2,1,0)</f>
        <v>0</v>
      </c>
      <c r="I4" s="14">
        <f>IF($G4=I$2,1,0)</f>
        <v>1</v>
      </c>
      <c r="J4" s="7">
        <v>0</v>
      </c>
      <c r="K4" s="14">
        <f>IF($J4=K$2,1,0)</f>
        <v>1</v>
      </c>
      <c r="L4" s="14">
        <f>IF($J4=L$2,1,0)</f>
        <v>0</v>
      </c>
      <c r="M4" s="15">
        <f t="shared" ref="M4:M21" si="0">C4</f>
        <v>0</v>
      </c>
      <c r="N4" s="15">
        <f t="shared" ref="N4:N21" si="1">D4</f>
        <v>0</v>
      </c>
      <c r="O4" s="15">
        <f t="shared" ref="O4:O21" si="2">F4</f>
        <v>1</v>
      </c>
      <c r="P4" s="15">
        <f t="shared" ref="P4:P21" si="3">H4</f>
        <v>0</v>
      </c>
      <c r="Q4" s="15">
        <f t="shared" ref="Q4:Q21" si="4">I4</f>
        <v>1</v>
      </c>
      <c r="R4" s="15">
        <f t="shared" ref="R4:R21" si="5">K4</f>
        <v>1</v>
      </c>
      <c r="S4" s="15">
        <f t="shared" ref="S4:S21" si="6">L4</f>
        <v>0</v>
      </c>
      <c r="T4" s="19">
        <f>HLOOKUP($T$3,Conjoint!$L$7:$AO$26,ROW(Regression!T3))</f>
        <v>7</v>
      </c>
      <c r="U4" s="29">
        <f>U3/SUM($U$3:$X$3)</f>
        <v>0.35747931412620865</v>
      </c>
      <c r="V4" s="29">
        <f>V3/SUM($U$3:$X$3)</f>
        <v>0.15473282823247941</v>
      </c>
      <c r="W4" s="29">
        <f>W3/SUM($U$3:$X$3)</f>
        <v>0.20521383710497454</v>
      </c>
      <c r="X4" s="29">
        <f>X3/SUM($U$3:$X$3)</f>
        <v>0.28257402053633746</v>
      </c>
    </row>
    <row r="5" spans="1:24" x14ac:dyDescent="0.25">
      <c r="A5" s="19" t="s">
        <v>40</v>
      </c>
      <c r="B5" s="7">
        <v>2</v>
      </c>
      <c r="C5" s="14">
        <f t="shared" ref="C5:D21" si="7">IF($B5=C$2,1,0)</f>
        <v>0</v>
      </c>
      <c r="D5" s="14">
        <f t="shared" si="7"/>
        <v>0</v>
      </c>
      <c r="E5" s="7">
        <v>1</v>
      </c>
      <c r="F5" s="14">
        <f t="shared" ref="F5:F21" si="8">IF($E5=F$2,1,0)</f>
        <v>0</v>
      </c>
      <c r="G5" s="7">
        <v>1</v>
      </c>
      <c r="H5" s="14">
        <f t="shared" ref="H5:I21" si="9">IF($G5=H$2,1,0)</f>
        <v>0</v>
      </c>
      <c r="I5" s="14">
        <f t="shared" si="9"/>
        <v>1</v>
      </c>
      <c r="J5" s="7">
        <v>0</v>
      </c>
      <c r="K5" s="14">
        <f t="shared" ref="K5:L21" si="10">IF($J5=K$2,1,0)</f>
        <v>1</v>
      </c>
      <c r="L5" s="14">
        <f t="shared" si="10"/>
        <v>0</v>
      </c>
      <c r="M5" s="15">
        <f t="shared" si="0"/>
        <v>0</v>
      </c>
      <c r="N5" s="15">
        <f t="shared" si="1"/>
        <v>0</v>
      </c>
      <c r="O5" s="15">
        <f t="shared" si="2"/>
        <v>0</v>
      </c>
      <c r="P5" s="15">
        <f t="shared" si="3"/>
        <v>0</v>
      </c>
      <c r="Q5" s="15">
        <f t="shared" si="4"/>
        <v>1</v>
      </c>
      <c r="R5" s="15">
        <f t="shared" si="5"/>
        <v>1</v>
      </c>
      <c r="S5" s="15">
        <f t="shared" si="6"/>
        <v>0</v>
      </c>
      <c r="T5" s="19">
        <f>HLOOKUP($T$3,Conjoint!$L$7:$AO$26,ROW(Regression!T4))</f>
        <v>8</v>
      </c>
    </row>
    <row r="6" spans="1:24" x14ac:dyDescent="0.25">
      <c r="A6" s="19" t="s">
        <v>41</v>
      </c>
      <c r="B6" s="7">
        <v>0</v>
      </c>
      <c r="C6" s="14">
        <f t="shared" si="7"/>
        <v>1</v>
      </c>
      <c r="D6" s="14">
        <f t="shared" si="7"/>
        <v>0</v>
      </c>
      <c r="E6" s="7">
        <v>0</v>
      </c>
      <c r="F6" s="14">
        <f t="shared" si="8"/>
        <v>1</v>
      </c>
      <c r="G6" s="7">
        <v>0</v>
      </c>
      <c r="H6" s="14">
        <f t="shared" si="9"/>
        <v>1</v>
      </c>
      <c r="I6" s="14">
        <f t="shared" si="9"/>
        <v>0</v>
      </c>
      <c r="J6" s="7">
        <v>0</v>
      </c>
      <c r="K6" s="14">
        <f t="shared" si="10"/>
        <v>1</v>
      </c>
      <c r="L6" s="14">
        <f t="shared" si="10"/>
        <v>0</v>
      </c>
      <c r="M6" s="15">
        <f t="shared" si="0"/>
        <v>1</v>
      </c>
      <c r="N6" s="15">
        <f t="shared" si="1"/>
        <v>0</v>
      </c>
      <c r="O6" s="15">
        <f t="shared" si="2"/>
        <v>1</v>
      </c>
      <c r="P6" s="15">
        <f t="shared" si="3"/>
        <v>1</v>
      </c>
      <c r="Q6" s="15">
        <f t="shared" si="4"/>
        <v>0</v>
      </c>
      <c r="R6" s="15">
        <f t="shared" si="5"/>
        <v>1</v>
      </c>
      <c r="S6" s="15">
        <f t="shared" si="6"/>
        <v>0</v>
      </c>
      <c r="T6" s="19">
        <f>HLOOKUP($T$3,Conjoint!$L$7:$AO$26,ROW(Regression!T5))</f>
        <v>2</v>
      </c>
    </row>
    <row r="7" spans="1:24" x14ac:dyDescent="0.25">
      <c r="A7" s="19" t="s">
        <v>42</v>
      </c>
      <c r="B7" s="7">
        <v>2</v>
      </c>
      <c r="C7" s="14">
        <f t="shared" si="7"/>
        <v>0</v>
      </c>
      <c r="D7" s="14">
        <f t="shared" si="7"/>
        <v>0</v>
      </c>
      <c r="E7" s="7">
        <v>0</v>
      </c>
      <c r="F7" s="14">
        <f t="shared" si="8"/>
        <v>1</v>
      </c>
      <c r="G7" s="7">
        <v>1</v>
      </c>
      <c r="H7" s="14">
        <f t="shared" si="9"/>
        <v>0</v>
      </c>
      <c r="I7" s="14">
        <f t="shared" si="9"/>
        <v>1</v>
      </c>
      <c r="J7" s="7">
        <v>2</v>
      </c>
      <c r="K7" s="14">
        <f t="shared" si="10"/>
        <v>0</v>
      </c>
      <c r="L7" s="14">
        <f t="shared" si="10"/>
        <v>0</v>
      </c>
      <c r="M7" s="15">
        <f t="shared" si="0"/>
        <v>0</v>
      </c>
      <c r="N7" s="15">
        <f t="shared" si="1"/>
        <v>0</v>
      </c>
      <c r="O7" s="15">
        <f t="shared" si="2"/>
        <v>1</v>
      </c>
      <c r="P7" s="15">
        <f t="shared" si="3"/>
        <v>0</v>
      </c>
      <c r="Q7" s="15">
        <f t="shared" si="4"/>
        <v>1</v>
      </c>
      <c r="R7" s="15">
        <f t="shared" si="5"/>
        <v>0</v>
      </c>
      <c r="S7" s="15">
        <f t="shared" si="6"/>
        <v>0</v>
      </c>
      <c r="T7" s="19">
        <f>HLOOKUP($T$3,Conjoint!$L$7:$AO$26,ROW(Regression!T6))</f>
        <v>2</v>
      </c>
    </row>
    <row r="8" spans="1:24" x14ac:dyDescent="0.25">
      <c r="A8" s="19" t="s">
        <v>43</v>
      </c>
      <c r="B8" s="7">
        <v>0</v>
      </c>
      <c r="C8" s="14">
        <f t="shared" si="7"/>
        <v>1</v>
      </c>
      <c r="D8" s="14">
        <f t="shared" si="7"/>
        <v>0</v>
      </c>
      <c r="E8" s="7">
        <v>0</v>
      </c>
      <c r="F8" s="14">
        <f t="shared" si="8"/>
        <v>1</v>
      </c>
      <c r="G8" s="7">
        <v>2</v>
      </c>
      <c r="H8" s="14">
        <f t="shared" si="9"/>
        <v>0</v>
      </c>
      <c r="I8" s="14">
        <f t="shared" si="9"/>
        <v>0</v>
      </c>
      <c r="J8" s="7">
        <v>0</v>
      </c>
      <c r="K8" s="14">
        <f t="shared" si="10"/>
        <v>1</v>
      </c>
      <c r="L8" s="14">
        <f t="shared" si="10"/>
        <v>0</v>
      </c>
      <c r="M8" s="15">
        <f t="shared" si="0"/>
        <v>1</v>
      </c>
      <c r="N8" s="15">
        <f t="shared" si="1"/>
        <v>0</v>
      </c>
      <c r="O8" s="15">
        <f t="shared" si="2"/>
        <v>1</v>
      </c>
      <c r="P8" s="15">
        <f t="shared" si="3"/>
        <v>0</v>
      </c>
      <c r="Q8" s="15">
        <f t="shared" si="4"/>
        <v>0</v>
      </c>
      <c r="R8" s="15">
        <f t="shared" si="5"/>
        <v>1</v>
      </c>
      <c r="S8" s="15">
        <f t="shared" si="6"/>
        <v>0</v>
      </c>
      <c r="T8" s="19">
        <f>HLOOKUP($T$3,Conjoint!$L$7:$AO$26,ROW(Regression!T7))</f>
        <v>1</v>
      </c>
    </row>
    <row r="9" spans="1:24" x14ac:dyDescent="0.25">
      <c r="A9" s="19" t="s">
        <v>44</v>
      </c>
      <c r="B9" s="7">
        <v>1</v>
      </c>
      <c r="C9" s="14">
        <f t="shared" si="7"/>
        <v>0</v>
      </c>
      <c r="D9" s="14">
        <f t="shared" si="7"/>
        <v>1</v>
      </c>
      <c r="E9" s="7">
        <v>0</v>
      </c>
      <c r="F9" s="14">
        <f t="shared" si="8"/>
        <v>1</v>
      </c>
      <c r="G9" s="7">
        <v>0</v>
      </c>
      <c r="H9" s="14">
        <f t="shared" si="9"/>
        <v>1</v>
      </c>
      <c r="I9" s="14">
        <f t="shared" si="9"/>
        <v>0</v>
      </c>
      <c r="J9" s="7">
        <v>0</v>
      </c>
      <c r="K9" s="14">
        <f t="shared" si="10"/>
        <v>1</v>
      </c>
      <c r="L9" s="14">
        <f t="shared" si="10"/>
        <v>0</v>
      </c>
      <c r="M9" s="15">
        <f t="shared" si="0"/>
        <v>0</v>
      </c>
      <c r="N9" s="15">
        <f t="shared" si="1"/>
        <v>1</v>
      </c>
      <c r="O9" s="15">
        <f t="shared" si="2"/>
        <v>1</v>
      </c>
      <c r="P9" s="15">
        <f t="shared" si="3"/>
        <v>1</v>
      </c>
      <c r="Q9" s="15">
        <f t="shared" si="4"/>
        <v>0</v>
      </c>
      <c r="R9" s="15">
        <f t="shared" si="5"/>
        <v>1</v>
      </c>
      <c r="S9" s="15">
        <f t="shared" si="6"/>
        <v>0</v>
      </c>
      <c r="T9" s="19">
        <f>HLOOKUP($T$3,Conjoint!$L$7:$AO$26,ROW(Regression!T8))</f>
        <v>9</v>
      </c>
    </row>
    <row r="10" spans="1:24" x14ac:dyDescent="0.25">
      <c r="A10" s="19" t="s">
        <v>45</v>
      </c>
      <c r="B10" s="7">
        <v>1</v>
      </c>
      <c r="C10" s="14">
        <f t="shared" si="7"/>
        <v>0</v>
      </c>
      <c r="D10" s="14">
        <f t="shared" si="7"/>
        <v>1</v>
      </c>
      <c r="E10" s="7">
        <v>1</v>
      </c>
      <c r="F10" s="14">
        <f t="shared" si="8"/>
        <v>0</v>
      </c>
      <c r="G10" s="7">
        <v>1</v>
      </c>
      <c r="H10" s="14">
        <f t="shared" si="9"/>
        <v>0</v>
      </c>
      <c r="I10" s="14">
        <f t="shared" si="9"/>
        <v>1</v>
      </c>
      <c r="J10" s="7">
        <v>2</v>
      </c>
      <c r="K10" s="14">
        <f t="shared" si="10"/>
        <v>0</v>
      </c>
      <c r="L10" s="14">
        <f t="shared" si="10"/>
        <v>0</v>
      </c>
      <c r="M10" s="15">
        <f t="shared" si="0"/>
        <v>0</v>
      </c>
      <c r="N10" s="15">
        <f t="shared" si="1"/>
        <v>1</v>
      </c>
      <c r="O10" s="15">
        <f t="shared" si="2"/>
        <v>0</v>
      </c>
      <c r="P10" s="15">
        <f t="shared" si="3"/>
        <v>0</v>
      </c>
      <c r="Q10" s="15">
        <f t="shared" si="4"/>
        <v>1</v>
      </c>
      <c r="R10" s="15">
        <f t="shared" si="5"/>
        <v>0</v>
      </c>
      <c r="S10" s="15">
        <f t="shared" si="6"/>
        <v>0</v>
      </c>
      <c r="T10" s="19">
        <f>HLOOKUP($T$3,Conjoint!$L$7:$AO$26,ROW(Regression!T9))</f>
        <v>8</v>
      </c>
    </row>
    <row r="11" spans="1:24" x14ac:dyDescent="0.25">
      <c r="A11" s="19" t="s">
        <v>46</v>
      </c>
      <c r="B11" s="7">
        <v>1</v>
      </c>
      <c r="C11" s="14">
        <f t="shared" si="7"/>
        <v>0</v>
      </c>
      <c r="D11" s="14">
        <f t="shared" si="7"/>
        <v>1</v>
      </c>
      <c r="E11" s="7">
        <v>0</v>
      </c>
      <c r="F11" s="14">
        <f t="shared" si="8"/>
        <v>1</v>
      </c>
      <c r="G11" s="7">
        <v>1</v>
      </c>
      <c r="H11" s="14">
        <f t="shared" si="9"/>
        <v>0</v>
      </c>
      <c r="I11" s="14">
        <f t="shared" si="9"/>
        <v>1</v>
      </c>
      <c r="J11" s="7">
        <v>1</v>
      </c>
      <c r="K11" s="14">
        <f t="shared" si="10"/>
        <v>0</v>
      </c>
      <c r="L11" s="14">
        <f t="shared" si="10"/>
        <v>1</v>
      </c>
      <c r="M11" s="15">
        <f t="shared" si="0"/>
        <v>0</v>
      </c>
      <c r="N11" s="15">
        <f t="shared" si="1"/>
        <v>1</v>
      </c>
      <c r="O11" s="15">
        <f t="shared" si="2"/>
        <v>1</v>
      </c>
      <c r="P11" s="15">
        <f t="shared" si="3"/>
        <v>0</v>
      </c>
      <c r="Q11" s="15">
        <f t="shared" si="4"/>
        <v>1</v>
      </c>
      <c r="R11" s="15">
        <f t="shared" si="5"/>
        <v>0</v>
      </c>
      <c r="S11" s="15">
        <f t="shared" si="6"/>
        <v>1</v>
      </c>
      <c r="T11" s="19">
        <f>HLOOKUP($T$3,Conjoint!$L$7:$AO$26,ROW(Regression!T10))</f>
        <v>0</v>
      </c>
    </row>
    <row r="12" spans="1:24" x14ac:dyDescent="0.25">
      <c r="A12" s="19" t="s">
        <v>47</v>
      </c>
      <c r="B12" s="7">
        <v>1</v>
      </c>
      <c r="C12" s="14">
        <f t="shared" si="7"/>
        <v>0</v>
      </c>
      <c r="D12" s="14">
        <f t="shared" si="7"/>
        <v>1</v>
      </c>
      <c r="E12" s="7">
        <v>0</v>
      </c>
      <c r="F12" s="14">
        <f t="shared" si="8"/>
        <v>1</v>
      </c>
      <c r="G12" s="7">
        <v>0</v>
      </c>
      <c r="H12" s="14">
        <f t="shared" si="9"/>
        <v>1</v>
      </c>
      <c r="I12" s="14">
        <f t="shared" si="9"/>
        <v>0</v>
      </c>
      <c r="J12" s="7">
        <v>0</v>
      </c>
      <c r="K12" s="14">
        <f t="shared" si="10"/>
        <v>1</v>
      </c>
      <c r="L12" s="14">
        <f t="shared" si="10"/>
        <v>0</v>
      </c>
      <c r="M12" s="15">
        <f t="shared" si="0"/>
        <v>0</v>
      </c>
      <c r="N12" s="15">
        <f t="shared" si="1"/>
        <v>1</v>
      </c>
      <c r="O12" s="15">
        <f t="shared" si="2"/>
        <v>1</v>
      </c>
      <c r="P12" s="15">
        <f t="shared" si="3"/>
        <v>1</v>
      </c>
      <c r="Q12" s="15">
        <f t="shared" si="4"/>
        <v>0</v>
      </c>
      <c r="R12" s="15">
        <f t="shared" si="5"/>
        <v>1</v>
      </c>
      <c r="S12" s="15">
        <f t="shared" si="6"/>
        <v>0</v>
      </c>
      <c r="T12" s="19">
        <f>HLOOKUP($T$3,Conjoint!$L$7:$AO$26,ROW(Regression!T11))</f>
        <v>3</v>
      </c>
    </row>
    <row r="13" spans="1:24" x14ac:dyDescent="0.25">
      <c r="A13" s="19" t="s">
        <v>48</v>
      </c>
      <c r="B13" s="7">
        <v>0</v>
      </c>
      <c r="C13" s="14">
        <f t="shared" si="7"/>
        <v>1</v>
      </c>
      <c r="D13" s="14">
        <f t="shared" si="7"/>
        <v>0</v>
      </c>
      <c r="E13" s="7">
        <v>0</v>
      </c>
      <c r="F13" s="14">
        <f t="shared" si="8"/>
        <v>1</v>
      </c>
      <c r="G13" s="7">
        <v>2</v>
      </c>
      <c r="H13" s="14">
        <f t="shared" si="9"/>
        <v>0</v>
      </c>
      <c r="I13" s="14">
        <f t="shared" si="9"/>
        <v>0</v>
      </c>
      <c r="J13" s="7">
        <v>1</v>
      </c>
      <c r="K13" s="14">
        <f t="shared" si="10"/>
        <v>0</v>
      </c>
      <c r="L13" s="14">
        <f t="shared" si="10"/>
        <v>1</v>
      </c>
      <c r="M13" s="15">
        <f t="shared" si="0"/>
        <v>1</v>
      </c>
      <c r="N13" s="15">
        <f t="shared" si="1"/>
        <v>0</v>
      </c>
      <c r="O13" s="15">
        <f t="shared" si="2"/>
        <v>1</v>
      </c>
      <c r="P13" s="15">
        <f t="shared" si="3"/>
        <v>0</v>
      </c>
      <c r="Q13" s="15">
        <f t="shared" si="4"/>
        <v>0</v>
      </c>
      <c r="R13" s="15">
        <f t="shared" si="5"/>
        <v>0</v>
      </c>
      <c r="S13" s="15">
        <f t="shared" si="6"/>
        <v>1</v>
      </c>
      <c r="T13" s="19">
        <f>HLOOKUP($T$3,Conjoint!$L$7:$AO$26,ROW(Regression!T12))</f>
        <v>3</v>
      </c>
    </row>
    <row r="14" spans="1:24" x14ac:dyDescent="0.25">
      <c r="A14" s="19" t="s">
        <v>49</v>
      </c>
      <c r="B14" s="7">
        <v>1</v>
      </c>
      <c r="C14" s="14">
        <f t="shared" si="7"/>
        <v>0</v>
      </c>
      <c r="D14" s="14">
        <f t="shared" si="7"/>
        <v>1</v>
      </c>
      <c r="E14" s="7">
        <v>1</v>
      </c>
      <c r="F14" s="14">
        <f t="shared" si="8"/>
        <v>0</v>
      </c>
      <c r="G14" s="7">
        <v>0</v>
      </c>
      <c r="H14" s="14">
        <f t="shared" si="9"/>
        <v>1</v>
      </c>
      <c r="I14" s="14">
        <f t="shared" si="9"/>
        <v>0</v>
      </c>
      <c r="J14" s="7">
        <v>2</v>
      </c>
      <c r="K14" s="14">
        <f t="shared" si="10"/>
        <v>0</v>
      </c>
      <c r="L14" s="14">
        <f t="shared" si="10"/>
        <v>0</v>
      </c>
      <c r="M14" s="15">
        <f t="shared" si="0"/>
        <v>0</v>
      </c>
      <c r="N14" s="15">
        <f t="shared" si="1"/>
        <v>1</v>
      </c>
      <c r="O14" s="15">
        <f t="shared" si="2"/>
        <v>0</v>
      </c>
      <c r="P14" s="15">
        <f t="shared" si="3"/>
        <v>1</v>
      </c>
      <c r="Q14" s="15">
        <f t="shared" si="4"/>
        <v>0</v>
      </c>
      <c r="R14" s="15">
        <f t="shared" si="5"/>
        <v>0</v>
      </c>
      <c r="S14" s="15">
        <f t="shared" si="6"/>
        <v>0</v>
      </c>
      <c r="T14" s="19">
        <f>HLOOKUP($T$3,Conjoint!$L$7:$AO$26,ROW(Regression!T13))</f>
        <v>2</v>
      </c>
    </row>
    <row r="15" spans="1:24" x14ac:dyDescent="0.25">
      <c r="A15" s="19" t="s">
        <v>50</v>
      </c>
      <c r="B15" s="7">
        <v>1</v>
      </c>
      <c r="C15" s="14">
        <f t="shared" si="7"/>
        <v>0</v>
      </c>
      <c r="D15" s="14">
        <f t="shared" si="7"/>
        <v>1</v>
      </c>
      <c r="E15" s="7">
        <v>0</v>
      </c>
      <c r="F15" s="14">
        <f t="shared" si="8"/>
        <v>1</v>
      </c>
      <c r="G15" s="7">
        <v>1</v>
      </c>
      <c r="H15" s="14">
        <f t="shared" si="9"/>
        <v>0</v>
      </c>
      <c r="I15" s="14">
        <f t="shared" si="9"/>
        <v>1</v>
      </c>
      <c r="J15" s="7">
        <v>1</v>
      </c>
      <c r="K15" s="14">
        <f t="shared" si="10"/>
        <v>0</v>
      </c>
      <c r="L15" s="14">
        <f t="shared" si="10"/>
        <v>1</v>
      </c>
      <c r="M15" s="15">
        <f t="shared" si="0"/>
        <v>0</v>
      </c>
      <c r="N15" s="15">
        <f t="shared" si="1"/>
        <v>1</v>
      </c>
      <c r="O15" s="15">
        <f t="shared" si="2"/>
        <v>1</v>
      </c>
      <c r="P15" s="15">
        <f t="shared" si="3"/>
        <v>0</v>
      </c>
      <c r="Q15" s="15">
        <f t="shared" si="4"/>
        <v>1</v>
      </c>
      <c r="R15" s="15">
        <f t="shared" si="5"/>
        <v>0</v>
      </c>
      <c r="S15" s="15">
        <f t="shared" si="6"/>
        <v>1</v>
      </c>
      <c r="T15" s="19">
        <f>HLOOKUP($T$3,Conjoint!$L$7:$AO$26,ROW(Regression!T14))</f>
        <v>0</v>
      </c>
    </row>
    <row r="16" spans="1:24" x14ac:dyDescent="0.25">
      <c r="A16" s="19" t="s">
        <v>51</v>
      </c>
      <c r="B16" s="7">
        <v>1</v>
      </c>
      <c r="C16" s="14">
        <f t="shared" si="7"/>
        <v>0</v>
      </c>
      <c r="D16" s="14">
        <f t="shared" si="7"/>
        <v>1</v>
      </c>
      <c r="E16" s="7">
        <v>1</v>
      </c>
      <c r="F16" s="14">
        <f t="shared" si="8"/>
        <v>0</v>
      </c>
      <c r="G16" s="7">
        <v>1</v>
      </c>
      <c r="H16" s="14">
        <f t="shared" si="9"/>
        <v>0</v>
      </c>
      <c r="I16" s="14">
        <f t="shared" si="9"/>
        <v>1</v>
      </c>
      <c r="J16" s="7">
        <v>2</v>
      </c>
      <c r="K16" s="14">
        <f t="shared" si="10"/>
        <v>0</v>
      </c>
      <c r="L16" s="14">
        <f t="shared" si="10"/>
        <v>0</v>
      </c>
      <c r="M16" s="15">
        <f t="shared" si="0"/>
        <v>0</v>
      </c>
      <c r="N16" s="15">
        <f t="shared" si="1"/>
        <v>1</v>
      </c>
      <c r="O16" s="15">
        <f t="shared" si="2"/>
        <v>0</v>
      </c>
      <c r="P16" s="15">
        <f t="shared" si="3"/>
        <v>0</v>
      </c>
      <c r="Q16" s="15">
        <f t="shared" si="4"/>
        <v>1</v>
      </c>
      <c r="R16" s="15">
        <f t="shared" si="5"/>
        <v>0</v>
      </c>
      <c r="S16" s="15">
        <f t="shared" si="6"/>
        <v>0</v>
      </c>
      <c r="T16" s="19">
        <f>HLOOKUP($T$3,Conjoint!$L$7:$AO$26,ROW(Regression!T15))</f>
        <v>7</v>
      </c>
    </row>
    <row r="17" spans="1:20" x14ac:dyDescent="0.25">
      <c r="A17" s="19" t="s">
        <v>52</v>
      </c>
      <c r="B17" s="7">
        <v>2</v>
      </c>
      <c r="C17" s="14">
        <f t="shared" si="7"/>
        <v>0</v>
      </c>
      <c r="D17" s="14">
        <f t="shared" si="7"/>
        <v>0</v>
      </c>
      <c r="E17" s="7">
        <v>0</v>
      </c>
      <c r="F17" s="14">
        <f t="shared" si="8"/>
        <v>1</v>
      </c>
      <c r="G17" s="7">
        <v>1</v>
      </c>
      <c r="H17" s="14">
        <f t="shared" si="9"/>
        <v>0</v>
      </c>
      <c r="I17" s="14">
        <f t="shared" si="9"/>
        <v>1</v>
      </c>
      <c r="J17" s="7">
        <v>1</v>
      </c>
      <c r="K17" s="14">
        <f t="shared" si="10"/>
        <v>0</v>
      </c>
      <c r="L17" s="14">
        <f t="shared" si="10"/>
        <v>1</v>
      </c>
      <c r="M17" s="15">
        <f t="shared" si="0"/>
        <v>0</v>
      </c>
      <c r="N17" s="15">
        <f t="shared" si="1"/>
        <v>0</v>
      </c>
      <c r="O17" s="15">
        <f t="shared" si="2"/>
        <v>1</v>
      </c>
      <c r="P17" s="15">
        <f t="shared" si="3"/>
        <v>0</v>
      </c>
      <c r="Q17" s="15">
        <f t="shared" si="4"/>
        <v>1</v>
      </c>
      <c r="R17" s="15">
        <f t="shared" si="5"/>
        <v>0</v>
      </c>
      <c r="S17" s="15">
        <f t="shared" si="6"/>
        <v>1</v>
      </c>
      <c r="T17" s="19">
        <f>HLOOKUP($T$3,Conjoint!$L$7:$AO$26,ROW(Regression!T16))</f>
        <v>3</v>
      </c>
    </row>
    <row r="18" spans="1:20" x14ac:dyDescent="0.25">
      <c r="A18" s="19" t="s">
        <v>53</v>
      </c>
      <c r="B18" s="7">
        <v>1</v>
      </c>
      <c r="C18" s="14">
        <f t="shared" si="7"/>
        <v>0</v>
      </c>
      <c r="D18" s="14">
        <f t="shared" si="7"/>
        <v>1</v>
      </c>
      <c r="E18" s="7">
        <v>0</v>
      </c>
      <c r="F18" s="14">
        <f t="shared" si="8"/>
        <v>1</v>
      </c>
      <c r="G18" s="7">
        <v>2</v>
      </c>
      <c r="H18" s="14">
        <f t="shared" si="9"/>
        <v>0</v>
      </c>
      <c r="I18" s="14">
        <f t="shared" si="9"/>
        <v>0</v>
      </c>
      <c r="J18" s="7">
        <v>0</v>
      </c>
      <c r="K18" s="14">
        <f t="shared" si="10"/>
        <v>1</v>
      </c>
      <c r="L18" s="14">
        <f t="shared" si="10"/>
        <v>0</v>
      </c>
      <c r="M18" s="15">
        <f t="shared" si="0"/>
        <v>0</v>
      </c>
      <c r="N18" s="15">
        <f t="shared" si="1"/>
        <v>1</v>
      </c>
      <c r="O18" s="15">
        <f t="shared" si="2"/>
        <v>1</v>
      </c>
      <c r="P18" s="15">
        <f t="shared" si="3"/>
        <v>0</v>
      </c>
      <c r="Q18" s="15">
        <f t="shared" si="4"/>
        <v>0</v>
      </c>
      <c r="R18" s="15">
        <f t="shared" si="5"/>
        <v>1</v>
      </c>
      <c r="S18" s="15">
        <f t="shared" si="6"/>
        <v>0</v>
      </c>
      <c r="T18" s="19">
        <f>HLOOKUP($T$3,Conjoint!$L$7:$AO$26,ROW(Regression!T17))</f>
        <v>9</v>
      </c>
    </row>
    <row r="19" spans="1:20" x14ac:dyDescent="0.25">
      <c r="A19" s="19" t="s">
        <v>54</v>
      </c>
      <c r="B19" s="7">
        <v>2</v>
      </c>
      <c r="C19" s="14">
        <f t="shared" si="7"/>
        <v>0</v>
      </c>
      <c r="D19" s="14">
        <f t="shared" si="7"/>
        <v>0</v>
      </c>
      <c r="E19" s="7">
        <v>0</v>
      </c>
      <c r="F19" s="14">
        <f>IF($E19=F$2,1,0)</f>
        <v>1</v>
      </c>
      <c r="G19" s="7">
        <v>0</v>
      </c>
      <c r="H19" s="14">
        <f t="shared" si="9"/>
        <v>1</v>
      </c>
      <c r="I19" s="14">
        <f t="shared" si="9"/>
        <v>0</v>
      </c>
      <c r="J19" s="7">
        <v>0</v>
      </c>
      <c r="K19" s="14">
        <f t="shared" si="10"/>
        <v>1</v>
      </c>
      <c r="L19" s="14">
        <f t="shared" si="10"/>
        <v>0</v>
      </c>
      <c r="M19" s="15">
        <f t="shared" si="0"/>
        <v>0</v>
      </c>
      <c r="N19" s="15">
        <f t="shared" si="1"/>
        <v>0</v>
      </c>
      <c r="O19" s="15">
        <f t="shared" si="2"/>
        <v>1</v>
      </c>
      <c r="P19" s="15">
        <f t="shared" si="3"/>
        <v>1</v>
      </c>
      <c r="Q19" s="15">
        <f t="shared" si="4"/>
        <v>0</v>
      </c>
      <c r="R19" s="15">
        <f t="shared" si="5"/>
        <v>1</v>
      </c>
      <c r="S19" s="15">
        <f t="shared" si="6"/>
        <v>0</v>
      </c>
      <c r="T19" s="19">
        <f>HLOOKUP($T$3,Conjoint!$L$7:$AO$26,ROW(Regression!T18))</f>
        <v>9</v>
      </c>
    </row>
    <row r="20" spans="1:20" x14ac:dyDescent="0.25">
      <c r="A20" s="19" t="s">
        <v>55</v>
      </c>
      <c r="B20" s="7">
        <v>2</v>
      </c>
      <c r="C20" s="14">
        <f t="shared" si="7"/>
        <v>0</v>
      </c>
      <c r="D20" s="14">
        <f t="shared" si="7"/>
        <v>0</v>
      </c>
      <c r="E20" s="7">
        <v>0</v>
      </c>
      <c r="F20" s="14">
        <f t="shared" si="8"/>
        <v>1</v>
      </c>
      <c r="G20" s="7">
        <v>0</v>
      </c>
      <c r="H20" s="14">
        <f t="shared" si="9"/>
        <v>1</v>
      </c>
      <c r="I20" s="14">
        <f t="shared" si="9"/>
        <v>0</v>
      </c>
      <c r="J20" s="7">
        <v>1</v>
      </c>
      <c r="K20" s="14">
        <f t="shared" si="10"/>
        <v>0</v>
      </c>
      <c r="L20" s="14">
        <f t="shared" si="10"/>
        <v>1</v>
      </c>
      <c r="M20" s="15">
        <f t="shared" si="0"/>
        <v>0</v>
      </c>
      <c r="N20" s="15">
        <f t="shared" si="1"/>
        <v>0</v>
      </c>
      <c r="O20" s="15">
        <f t="shared" si="2"/>
        <v>1</v>
      </c>
      <c r="P20" s="15">
        <f t="shared" si="3"/>
        <v>1</v>
      </c>
      <c r="Q20" s="15">
        <f t="shared" si="4"/>
        <v>0</v>
      </c>
      <c r="R20" s="15">
        <f t="shared" si="5"/>
        <v>0</v>
      </c>
      <c r="S20" s="15">
        <f t="shared" si="6"/>
        <v>1</v>
      </c>
      <c r="T20" s="19">
        <f>HLOOKUP($T$3,Conjoint!$L$7:$AO$26,ROW(Regression!T19))</f>
        <v>3</v>
      </c>
    </row>
    <row r="21" spans="1:20" x14ac:dyDescent="0.25">
      <c r="A21" s="19" t="s">
        <v>56</v>
      </c>
      <c r="B21" s="7">
        <v>1</v>
      </c>
      <c r="C21" s="14">
        <f t="shared" si="7"/>
        <v>0</v>
      </c>
      <c r="D21" s="14">
        <f t="shared" si="7"/>
        <v>1</v>
      </c>
      <c r="E21" s="7">
        <v>1</v>
      </c>
      <c r="F21" s="14">
        <f t="shared" si="8"/>
        <v>0</v>
      </c>
      <c r="G21" s="7">
        <v>0</v>
      </c>
      <c r="H21" s="14">
        <f t="shared" si="9"/>
        <v>1</v>
      </c>
      <c r="I21" s="14">
        <f t="shared" si="9"/>
        <v>0</v>
      </c>
      <c r="J21" s="7">
        <v>2</v>
      </c>
      <c r="K21" s="14">
        <f t="shared" si="10"/>
        <v>0</v>
      </c>
      <c r="L21" s="14">
        <f t="shared" si="10"/>
        <v>0</v>
      </c>
      <c r="M21" s="15">
        <f t="shared" si="0"/>
        <v>0</v>
      </c>
      <c r="N21" s="15">
        <f t="shared" si="1"/>
        <v>1</v>
      </c>
      <c r="O21" s="15">
        <f t="shared" si="2"/>
        <v>0</v>
      </c>
      <c r="P21" s="15">
        <f t="shared" si="3"/>
        <v>1</v>
      </c>
      <c r="Q21" s="15">
        <f t="shared" si="4"/>
        <v>0</v>
      </c>
      <c r="R21" s="15">
        <f t="shared" si="5"/>
        <v>0</v>
      </c>
      <c r="S21" s="15">
        <f t="shared" si="6"/>
        <v>0</v>
      </c>
      <c r="T21" s="19">
        <f>HLOOKUP($T$3,Conjoint!$L$7:$AO$26,ROW(Regression!T20))</f>
        <v>1</v>
      </c>
    </row>
    <row r="30" spans="1:20" x14ac:dyDescent="0.25">
      <c r="A30" t="s">
        <v>93</v>
      </c>
      <c r="B30"/>
      <c r="C30"/>
      <c r="D30"/>
      <c r="E30"/>
      <c r="F30"/>
      <c r="G30"/>
      <c r="H30"/>
      <c r="I30"/>
    </row>
    <row r="31" spans="1:20" ht="15.75" thickBot="1" x14ac:dyDescent="0.3">
      <c r="A31"/>
      <c r="B31"/>
      <c r="C31"/>
      <c r="D31"/>
      <c r="E31"/>
      <c r="F31"/>
      <c r="G31"/>
      <c r="H31"/>
      <c r="I31"/>
    </row>
    <row r="32" spans="1:20" x14ac:dyDescent="0.25">
      <c r="A32" s="23" t="s">
        <v>94</v>
      </c>
      <c r="B32" s="23"/>
      <c r="C32"/>
      <c r="D32"/>
      <c r="E32"/>
      <c r="F32"/>
      <c r="G32"/>
      <c r="H32"/>
      <c r="I32"/>
    </row>
    <row r="33" spans="1:11" x14ac:dyDescent="0.25">
      <c r="A33" s="20" t="s">
        <v>95</v>
      </c>
      <c r="B33" s="20">
        <v>0.73879521100283208</v>
      </c>
      <c r="C33"/>
      <c r="D33"/>
      <c r="E33"/>
      <c r="F33"/>
      <c r="G33"/>
      <c r="H33"/>
      <c r="I33"/>
    </row>
    <row r="34" spans="1:11" x14ac:dyDescent="0.25">
      <c r="A34" s="20" t="s">
        <v>96</v>
      </c>
      <c r="B34" s="20">
        <v>0.54581836380071913</v>
      </c>
      <c r="C34"/>
      <c r="D34"/>
      <c r="E34"/>
      <c r="F34"/>
      <c r="G34"/>
      <c r="H34"/>
      <c r="I34"/>
    </row>
    <row r="35" spans="1:11" x14ac:dyDescent="0.25">
      <c r="A35" s="20" t="s">
        <v>97</v>
      </c>
      <c r="B35" s="20">
        <v>0.22789121846122259</v>
      </c>
      <c r="C35"/>
      <c r="D35"/>
      <c r="E35"/>
      <c r="F35"/>
      <c r="G35"/>
      <c r="H35"/>
      <c r="I35"/>
    </row>
    <row r="36" spans="1:11" x14ac:dyDescent="0.25">
      <c r="A36" s="20" t="s">
        <v>98</v>
      </c>
      <c r="B36" s="20">
        <v>2.934584888634304</v>
      </c>
      <c r="C36"/>
      <c r="D36"/>
      <c r="E36"/>
      <c r="F36"/>
      <c r="G36"/>
      <c r="H36"/>
      <c r="I36"/>
    </row>
    <row r="37" spans="1:11" ht="15.75" thickBot="1" x14ac:dyDescent="0.3">
      <c r="A37" s="21" t="s">
        <v>99</v>
      </c>
      <c r="B37" s="21">
        <v>18</v>
      </c>
      <c r="C37"/>
      <c r="D37"/>
      <c r="E37"/>
      <c r="F37"/>
      <c r="G37"/>
      <c r="H37"/>
      <c r="I37"/>
    </row>
    <row r="38" spans="1:11" x14ac:dyDescent="0.25">
      <c r="A38"/>
      <c r="B38"/>
      <c r="C38"/>
      <c r="D38"/>
      <c r="E38"/>
      <c r="F38"/>
      <c r="G38"/>
      <c r="H38"/>
      <c r="I38"/>
    </row>
    <row r="39" spans="1:11" ht="15.75" thickBot="1" x14ac:dyDescent="0.3">
      <c r="A39" t="s">
        <v>100</v>
      </c>
      <c r="B39"/>
      <c r="C39"/>
      <c r="D39"/>
      <c r="E39"/>
      <c r="F39"/>
      <c r="G39"/>
      <c r="H39"/>
      <c r="I39"/>
    </row>
    <row r="40" spans="1:11" x14ac:dyDescent="0.25">
      <c r="A40" s="22"/>
      <c r="B40" s="22" t="s">
        <v>105</v>
      </c>
      <c r="C40" s="22" t="s">
        <v>106</v>
      </c>
      <c r="D40" s="22" t="s">
        <v>107</v>
      </c>
      <c r="E40" s="22" t="s">
        <v>108</v>
      </c>
      <c r="F40" s="22" t="s">
        <v>109</v>
      </c>
      <c r="G40"/>
      <c r="H40"/>
      <c r="I40"/>
    </row>
    <row r="41" spans="1:11" x14ac:dyDescent="0.25">
      <c r="A41" s="20" t="s">
        <v>101</v>
      </c>
      <c r="B41" s="20">
        <v>7</v>
      </c>
      <c r="C41" s="20">
        <v>103.49322642510302</v>
      </c>
      <c r="D41" s="20">
        <v>14.784746632157574</v>
      </c>
      <c r="E41" s="20">
        <v>1.7168032733344305</v>
      </c>
      <c r="F41" s="20">
        <v>0.2113108932447974</v>
      </c>
      <c r="G41"/>
      <c r="H41"/>
      <c r="I41"/>
    </row>
    <row r="42" spans="1:11" x14ac:dyDescent="0.25">
      <c r="A42" s="20" t="s">
        <v>102</v>
      </c>
      <c r="B42" s="20">
        <v>10</v>
      </c>
      <c r="C42" s="20">
        <v>86.117884686008097</v>
      </c>
      <c r="D42" s="20">
        <v>8.6117884686008104</v>
      </c>
      <c r="E42" s="20"/>
      <c r="F42" s="20"/>
      <c r="G42"/>
      <c r="H42"/>
      <c r="I42"/>
    </row>
    <row r="43" spans="1:11" ht="15.75" thickBot="1" x14ac:dyDescent="0.3">
      <c r="A43" s="21" t="s">
        <v>103</v>
      </c>
      <c r="B43" s="21">
        <v>17</v>
      </c>
      <c r="C43" s="21">
        <v>189.61111111111111</v>
      </c>
      <c r="D43" s="21"/>
      <c r="E43" s="21"/>
      <c r="F43" s="21"/>
      <c r="G43"/>
      <c r="H43"/>
      <c r="I43"/>
    </row>
    <row r="44" spans="1:11" ht="15.75" thickBot="1" x14ac:dyDescent="0.3">
      <c r="A44"/>
      <c r="B44"/>
      <c r="C44"/>
      <c r="D44"/>
      <c r="E44"/>
      <c r="F44"/>
      <c r="G44"/>
      <c r="H44"/>
      <c r="I44"/>
    </row>
    <row r="45" spans="1:11" x14ac:dyDescent="0.25">
      <c r="A45" s="22"/>
      <c r="B45" s="22" t="s">
        <v>110</v>
      </c>
      <c r="C45" s="22" t="s">
        <v>98</v>
      </c>
      <c r="D45" s="22" t="s">
        <v>111</v>
      </c>
      <c r="E45" s="22" t="s">
        <v>112</v>
      </c>
      <c r="F45" s="22" t="s">
        <v>113</v>
      </c>
      <c r="G45" s="22" t="s">
        <v>114</v>
      </c>
      <c r="H45" s="22" t="s">
        <v>115</v>
      </c>
      <c r="I45" s="22" t="s">
        <v>116</v>
      </c>
    </row>
    <row r="46" spans="1:11" x14ac:dyDescent="0.25">
      <c r="A46" s="20" t="s">
        <v>104</v>
      </c>
      <c r="B46" s="20">
        <v>8.2234667645978679</v>
      </c>
      <c r="C46" s="20">
        <v>3.5500708380726582</v>
      </c>
      <c r="D46" s="20">
        <v>2.3164232883483553</v>
      </c>
      <c r="E46" s="20">
        <v>4.3034122892080647E-2</v>
      </c>
      <c r="F46" s="20">
        <v>0.31341600298470418</v>
      </c>
      <c r="G46" s="20">
        <v>16.13351752621103</v>
      </c>
      <c r="H46" s="20">
        <v>0.31341600298470418</v>
      </c>
      <c r="I46" s="20">
        <v>16.13351752621103</v>
      </c>
      <c r="K46" s="1" t="str">
        <f>CONCATENATE(ROUND(B46,2))</f>
        <v>8.22</v>
      </c>
    </row>
    <row r="47" spans="1:11" x14ac:dyDescent="0.25">
      <c r="A47" s="20" t="s">
        <v>117</v>
      </c>
      <c r="B47" s="20">
        <v>-5.2675358060962125</v>
      </c>
      <c r="C47" s="20">
        <v>2.7203875893438951</v>
      </c>
      <c r="D47" s="20">
        <v>-1.9363181286114601</v>
      </c>
      <c r="E47" s="20">
        <v>8.1576835860303912E-2</v>
      </c>
      <c r="F47" s="20">
        <v>-11.328937086374626</v>
      </c>
      <c r="G47" s="20">
        <v>0.79386547418220221</v>
      </c>
      <c r="H47" s="20">
        <v>-11.328937086374626</v>
      </c>
      <c r="I47" s="20">
        <v>0.79386547418220221</v>
      </c>
      <c r="K47" s="1" t="str">
        <f>CONCATENATE(A47," (",ROUND(B47,2),")")</f>
        <v>Tread Life.0 (-5.27)</v>
      </c>
    </row>
    <row r="48" spans="1:11" x14ac:dyDescent="0.25">
      <c r="A48" s="20" t="s">
        <v>118</v>
      </c>
      <c r="B48" s="20">
        <v>-1.2914065369078196</v>
      </c>
      <c r="C48" s="20">
        <v>1.729690596547736</v>
      </c>
      <c r="D48" s="20">
        <v>-0.74661129538734783</v>
      </c>
      <c r="E48" s="20">
        <v>0.47248629624902527</v>
      </c>
      <c r="F48" s="20">
        <v>-5.145397356991146</v>
      </c>
      <c r="G48" s="20">
        <v>2.5625842831755072</v>
      </c>
      <c r="H48" s="20">
        <v>-5.145397356991146</v>
      </c>
      <c r="I48" s="20">
        <v>2.5625842831755072</v>
      </c>
      <c r="K48" s="1" t="str">
        <f t="shared" ref="K48:K53" si="11">CONCATENATE(A48," (",ROUND(B48,2),")")</f>
        <v>Tread Life.1 (-1.29)</v>
      </c>
    </row>
    <row r="49" spans="1:11" x14ac:dyDescent="0.25">
      <c r="A49" s="20" t="s">
        <v>119</v>
      </c>
      <c r="B49" s="20">
        <v>-2.2800220345207491</v>
      </c>
      <c r="C49" s="20">
        <v>2.3350247430839928</v>
      </c>
      <c r="D49" s="20">
        <v>-0.9764444857699458</v>
      </c>
      <c r="E49" s="20">
        <v>0.35187371264975442</v>
      </c>
      <c r="F49" s="20">
        <v>-7.4827813849354623</v>
      </c>
      <c r="G49" s="20">
        <v>2.9227373158939636</v>
      </c>
      <c r="H49" s="20">
        <v>-7.4827813849354623</v>
      </c>
      <c r="I49" s="20">
        <v>2.9227373158939636</v>
      </c>
      <c r="K49" s="1" t="str">
        <f t="shared" si="11"/>
        <v>SWV.0 (-2.28)</v>
      </c>
    </row>
    <row r="50" spans="1:11" x14ac:dyDescent="0.25">
      <c r="A50" s="20" t="s">
        <v>120</v>
      </c>
      <c r="B50" s="20">
        <v>-3.0238707308116024</v>
      </c>
      <c r="C50" s="20">
        <v>2.4429175317496403</v>
      </c>
      <c r="D50" s="20">
        <v>-1.2378112201953366</v>
      </c>
      <c r="E50" s="20">
        <v>0.24406013056663539</v>
      </c>
      <c r="F50" s="20">
        <v>-8.4670301955013887</v>
      </c>
      <c r="G50" s="20">
        <v>2.4192887338781843</v>
      </c>
      <c r="H50" s="20">
        <v>-8.4670301955013887</v>
      </c>
      <c r="I50" s="20">
        <v>2.4192887338781843</v>
      </c>
      <c r="K50" s="1" t="str">
        <f t="shared" si="11"/>
        <v>Price.0 (-3.02)</v>
      </c>
    </row>
    <row r="51" spans="1:11" x14ac:dyDescent="0.25">
      <c r="A51" s="20" t="s">
        <v>121</v>
      </c>
      <c r="B51" s="20">
        <v>-2.5413147264047002</v>
      </c>
      <c r="C51" s="20">
        <v>2.7607773132287083</v>
      </c>
      <c r="D51" s="20">
        <v>-0.920506958032284</v>
      </c>
      <c r="E51" s="20">
        <v>0.37897866045906581</v>
      </c>
      <c r="F51" s="20">
        <v>-8.6927099196918647</v>
      </c>
      <c r="G51" s="20">
        <v>3.6100804668824646</v>
      </c>
      <c r="H51" s="20">
        <v>-8.6927099196918647</v>
      </c>
      <c r="I51" s="20">
        <v>3.6100804668824646</v>
      </c>
      <c r="K51" s="1" t="str">
        <f t="shared" si="11"/>
        <v>Price.1 (-2.54)</v>
      </c>
    </row>
    <row r="52" spans="1:11" x14ac:dyDescent="0.25">
      <c r="A52" s="20" t="s">
        <v>122</v>
      </c>
      <c r="B52" s="20">
        <v>3.7199779654792504</v>
      </c>
      <c r="C52" s="20">
        <v>2.3350247430839937</v>
      </c>
      <c r="D52" s="20">
        <v>1.5931214332941388</v>
      </c>
      <c r="E52" s="20">
        <v>0.14221725240011132</v>
      </c>
      <c r="F52" s="20">
        <v>-1.4827813849354641</v>
      </c>
      <c r="G52" s="20">
        <v>8.9227373158939649</v>
      </c>
      <c r="H52" s="20">
        <v>-1.4827813849354641</v>
      </c>
      <c r="I52" s="20">
        <v>8.9227373158939649</v>
      </c>
      <c r="K52" s="1" t="str">
        <f t="shared" si="11"/>
        <v>Brand.0 (3.72)</v>
      </c>
    </row>
    <row r="53" spans="1:11" ht="15.75" thickBot="1" x14ac:dyDescent="0.3">
      <c r="A53" s="21" t="s">
        <v>123</v>
      </c>
      <c r="B53" s="21">
        <v>-0.44381197208960671</v>
      </c>
      <c r="C53" s="21">
        <v>2.632953147715646</v>
      </c>
      <c r="D53" s="21">
        <v>-0.16856052773846683</v>
      </c>
      <c r="E53" s="21">
        <v>0.86950290147368836</v>
      </c>
      <c r="F53" s="21">
        <v>-6.3103971759743933</v>
      </c>
      <c r="G53" s="21">
        <v>5.4227732317951807</v>
      </c>
      <c r="H53" s="21">
        <v>-6.3103971759743933</v>
      </c>
      <c r="I53" s="21">
        <v>5.4227732317951807</v>
      </c>
      <c r="K53" s="1" t="str">
        <f t="shared" si="11"/>
        <v>Brand.1 (-0.44)</v>
      </c>
    </row>
    <row r="54" spans="1:11" x14ac:dyDescent="0.25">
      <c r="A54"/>
      <c r="B54"/>
      <c r="C54"/>
      <c r="D54"/>
      <c r="E54"/>
      <c r="F54"/>
      <c r="G54"/>
      <c r="H54"/>
      <c r="I54"/>
    </row>
    <row r="55" spans="1:11" x14ac:dyDescent="0.25">
      <c r="A55"/>
      <c r="B55"/>
      <c r="C55"/>
      <c r="D55"/>
      <c r="E55"/>
      <c r="F55"/>
      <c r="G55"/>
      <c r="H55"/>
      <c r="I55"/>
    </row>
    <row r="56" spans="1:11" x14ac:dyDescent="0.25">
      <c r="A56"/>
      <c r="B56"/>
      <c r="C56"/>
      <c r="D56"/>
      <c r="E56"/>
      <c r="F56"/>
      <c r="G56"/>
      <c r="H56"/>
      <c r="I56"/>
    </row>
  </sheetData>
  <mergeCells count="8">
    <mergeCell ref="U1:U2"/>
    <mergeCell ref="V1:V2"/>
    <mergeCell ref="W1:W2"/>
    <mergeCell ref="X1:X2"/>
    <mergeCell ref="C1:D1"/>
    <mergeCell ref="H1:I1"/>
    <mergeCell ref="K1:L1"/>
    <mergeCell ref="M1:S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1"/>
  <sheetViews>
    <sheetView workbookViewId="0">
      <selection sqref="A1:B5"/>
    </sheetView>
  </sheetViews>
  <sheetFormatPr defaultRowHeight="12.75" x14ac:dyDescent="0.2"/>
  <cols>
    <col min="1" max="1" width="9.140625" style="3"/>
    <col min="2" max="2" width="5.42578125" style="3" bestFit="1" customWidth="1"/>
    <col min="3" max="3" width="10.42578125" style="3" bestFit="1" customWidth="1"/>
    <col min="4" max="6" width="9.140625" style="3"/>
    <col min="7" max="7" width="3" style="3" customWidth="1"/>
    <col min="8" max="8" width="10.85546875" style="3" bestFit="1" customWidth="1"/>
    <col min="9" max="16384" width="9.140625" style="3"/>
  </cols>
  <sheetData>
    <row r="1" spans="1:8" x14ac:dyDescent="0.2">
      <c r="A1" s="49" t="s">
        <v>66</v>
      </c>
      <c r="B1" s="50"/>
      <c r="C1" s="31"/>
      <c r="D1" s="31" t="s">
        <v>126</v>
      </c>
      <c r="E1" s="31" t="s">
        <v>127</v>
      </c>
      <c r="F1" s="31" t="s">
        <v>128</v>
      </c>
      <c r="H1" s="31" t="s">
        <v>132</v>
      </c>
    </row>
    <row r="2" spans="1:8" x14ac:dyDescent="0.2">
      <c r="A2" s="51"/>
      <c r="B2" s="52"/>
      <c r="C2" s="31" t="s">
        <v>124</v>
      </c>
      <c r="D2" s="32">
        <v>30000</v>
      </c>
      <c r="E2" s="32">
        <v>30000</v>
      </c>
      <c r="F2" s="32">
        <v>40000</v>
      </c>
      <c r="H2" s="32">
        <v>50000</v>
      </c>
    </row>
    <row r="3" spans="1:8" x14ac:dyDescent="0.2">
      <c r="A3" s="51"/>
      <c r="B3" s="52"/>
      <c r="C3" s="31" t="s">
        <v>125</v>
      </c>
      <c r="D3" s="32" t="s">
        <v>31</v>
      </c>
      <c r="E3" s="32" t="s">
        <v>30</v>
      </c>
      <c r="F3" s="32" t="s">
        <v>30</v>
      </c>
      <c r="H3" s="32" t="s">
        <v>31</v>
      </c>
    </row>
    <row r="4" spans="1:8" x14ac:dyDescent="0.2">
      <c r="A4" s="51"/>
      <c r="B4" s="52"/>
      <c r="C4" s="31" t="s">
        <v>32</v>
      </c>
      <c r="D4" s="32">
        <v>50</v>
      </c>
      <c r="E4" s="32">
        <v>60</v>
      </c>
      <c r="F4" s="32">
        <v>60</v>
      </c>
      <c r="H4" s="32">
        <v>60</v>
      </c>
    </row>
    <row r="5" spans="1:8" x14ac:dyDescent="0.2">
      <c r="A5" s="53"/>
      <c r="B5" s="54"/>
      <c r="C5" s="31" t="s">
        <v>0</v>
      </c>
      <c r="D5" s="32" t="s">
        <v>33</v>
      </c>
      <c r="E5" s="32" t="s">
        <v>34</v>
      </c>
      <c r="F5" s="32" t="s">
        <v>35</v>
      </c>
      <c r="H5" s="32" t="s">
        <v>33</v>
      </c>
    </row>
    <row r="6" spans="1:8" x14ac:dyDescent="0.2">
      <c r="A6" s="30" t="s">
        <v>104</v>
      </c>
      <c r="B6" s="30">
        <f>Regression!B46</f>
        <v>8.2234667645978679</v>
      </c>
      <c r="C6" s="33"/>
      <c r="D6" s="4"/>
      <c r="E6" s="4"/>
      <c r="F6" s="4"/>
      <c r="H6" s="4"/>
    </row>
    <row r="7" spans="1:8" x14ac:dyDescent="0.2">
      <c r="A7" s="30">
        <v>30000</v>
      </c>
      <c r="B7" s="30">
        <f>Regression!B47</f>
        <v>-5.2675358060962125</v>
      </c>
      <c r="C7" s="33"/>
      <c r="D7" s="4">
        <f>COUNTIFS(D$1:D$5,$A7)</f>
        <v>1</v>
      </c>
      <c r="E7" s="4">
        <f t="shared" ref="E7:H17" si="0">COUNTIFS(E$1:E$5,$A7)</f>
        <v>1</v>
      </c>
      <c r="F7" s="4">
        <f t="shared" si="0"/>
        <v>0</v>
      </c>
      <c r="H7" s="4">
        <f t="shared" si="0"/>
        <v>0</v>
      </c>
    </row>
    <row r="8" spans="1:8" x14ac:dyDescent="0.2">
      <c r="A8" s="30">
        <v>40000</v>
      </c>
      <c r="B8" s="30">
        <f>Regression!B48</f>
        <v>-1.2914065369078196</v>
      </c>
      <c r="C8" s="33"/>
      <c r="D8" s="4">
        <f t="shared" ref="D8:D17" si="1">COUNTIFS(D$1:D$5,$A8)</f>
        <v>0</v>
      </c>
      <c r="E8" s="4">
        <f t="shared" si="0"/>
        <v>0</v>
      </c>
      <c r="F8" s="4">
        <f t="shared" si="0"/>
        <v>1</v>
      </c>
      <c r="H8" s="4">
        <f t="shared" si="0"/>
        <v>0</v>
      </c>
    </row>
    <row r="9" spans="1:8" x14ac:dyDescent="0.2">
      <c r="A9" s="30">
        <v>50000</v>
      </c>
      <c r="B9" s="30">
        <v>0</v>
      </c>
      <c r="C9" s="33"/>
      <c r="D9" s="4">
        <f t="shared" si="1"/>
        <v>0</v>
      </c>
      <c r="E9" s="4">
        <f t="shared" si="0"/>
        <v>0</v>
      </c>
      <c r="F9" s="4">
        <f t="shared" si="0"/>
        <v>0</v>
      </c>
      <c r="H9" s="4">
        <f t="shared" si="0"/>
        <v>1</v>
      </c>
    </row>
    <row r="10" spans="1:8" x14ac:dyDescent="0.2">
      <c r="A10" s="30" t="s">
        <v>30</v>
      </c>
      <c r="B10" s="30">
        <f>Regression!B49</f>
        <v>-2.2800220345207491</v>
      </c>
      <c r="C10" s="33"/>
      <c r="D10" s="4">
        <f t="shared" si="1"/>
        <v>0</v>
      </c>
      <c r="E10" s="4">
        <f t="shared" si="0"/>
        <v>1</v>
      </c>
      <c r="F10" s="4">
        <f t="shared" si="0"/>
        <v>1</v>
      </c>
      <c r="H10" s="4">
        <f t="shared" si="0"/>
        <v>0</v>
      </c>
    </row>
    <row r="11" spans="1:8" x14ac:dyDescent="0.2">
      <c r="A11" s="30" t="s">
        <v>31</v>
      </c>
      <c r="B11" s="30">
        <v>0</v>
      </c>
      <c r="C11" s="33"/>
      <c r="D11" s="4">
        <f t="shared" si="1"/>
        <v>1</v>
      </c>
      <c r="E11" s="4">
        <f t="shared" si="0"/>
        <v>0</v>
      </c>
      <c r="F11" s="4">
        <f t="shared" si="0"/>
        <v>0</v>
      </c>
      <c r="H11" s="4">
        <f t="shared" si="0"/>
        <v>1</v>
      </c>
    </row>
    <row r="12" spans="1:8" x14ac:dyDescent="0.2">
      <c r="A12" s="30">
        <v>50</v>
      </c>
      <c r="B12" s="30">
        <f>Regression!B50</f>
        <v>-3.0238707308116024</v>
      </c>
      <c r="C12" s="33"/>
      <c r="D12" s="4">
        <f t="shared" si="1"/>
        <v>1</v>
      </c>
      <c r="E12" s="4">
        <f t="shared" si="0"/>
        <v>0</v>
      </c>
      <c r="F12" s="4">
        <f t="shared" si="0"/>
        <v>0</v>
      </c>
      <c r="H12" s="4">
        <f t="shared" si="0"/>
        <v>0</v>
      </c>
    </row>
    <row r="13" spans="1:8" x14ac:dyDescent="0.2">
      <c r="A13" s="30">
        <v>60</v>
      </c>
      <c r="B13" s="30">
        <f>Regression!B51</f>
        <v>-2.5413147264047002</v>
      </c>
      <c r="C13" s="33"/>
      <c r="D13" s="4">
        <f t="shared" si="1"/>
        <v>0</v>
      </c>
      <c r="E13" s="4">
        <f t="shared" si="0"/>
        <v>1</v>
      </c>
      <c r="F13" s="4">
        <f t="shared" si="0"/>
        <v>1</v>
      </c>
      <c r="H13" s="4">
        <f t="shared" si="0"/>
        <v>1</v>
      </c>
    </row>
    <row r="14" spans="1:8" x14ac:dyDescent="0.2">
      <c r="A14" s="30">
        <v>70</v>
      </c>
      <c r="B14" s="30">
        <v>0</v>
      </c>
      <c r="C14" s="33"/>
      <c r="D14" s="4">
        <f t="shared" si="1"/>
        <v>0</v>
      </c>
      <c r="E14" s="4">
        <f t="shared" si="0"/>
        <v>0</v>
      </c>
      <c r="F14" s="4">
        <f t="shared" si="0"/>
        <v>0</v>
      </c>
      <c r="H14" s="4">
        <f t="shared" si="0"/>
        <v>0</v>
      </c>
    </row>
    <row r="15" spans="1:8" x14ac:dyDescent="0.2">
      <c r="A15" s="30" t="s">
        <v>33</v>
      </c>
      <c r="B15" s="30">
        <f>Regression!B52</f>
        <v>3.7199779654792504</v>
      </c>
      <c r="C15" s="33"/>
      <c r="D15" s="4">
        <f t="shared" si="1"/>
        <v>1</v>
      </c>
      <c r="E15" s="4">
        <f t="shared" si="0"/>
        <v>0</v>
      </c>
      <c r="F15" s="4">
        <f t="shared" si="0"/>
        <v>0</v>
      </c>
      <c r="H15" s="4">
        <f t="shared" si="0"/>
        <v>1</v>
      </c>
    </row>
    <row r="16" spans="1:8" x14ac:dyDescent="0.2">
      <c r="A16" s="30" t="s">
        <v>34</v>
      </c>
      <c r="B16" s="30">
        <f>Regression!B53</f>
        <v>-0.44381197208960671</v>
      </c>
      <c r="C16" s="33"/>
      <c r="D16" s="4">
        <f t="shared" si="1"/>
        <v>0</v>
      </c>
      <c r="E16" s="4">
        <f t="shared" si="0"/>
        <v>1</v>
      </c>
      <c r="F16" s="4">
        <f t="shared" si="0"/>
        <v>0</v>
      </c>
      <c r="H16" s="4">
        <f t="shared" si="0"/>
        <v>0</v>
      </c>
    </row>
    <row r="17" spans="1:8" x14ac:dyDescent="0.2">
      <c r="A17" s="30" t="s">
        <v>35</v>
      </c>
      <c r="B17" s="30">
        <v>0</v>
      </c>
      <c r="C17" s="33"/>
      <c r="D17" s="4">
        <f t="shared" si="1"/>
        <v>0</v>
      </c>
      <c r="E17" s="4">
        <f t="shared" si="0"/>
        <v>0</v>
      </c>
      <c r="F17" s="4">
        <f t="shared" si="0"/>
        <v>1</v>
      </c>
      <c r="H17" s="4">
        <f t="shared" si="0"/>
        <v>0</v>
      </c>
    </row>
    <row r="18" spans="1:8" x14ac:dyDescent="0.2">
      <c r="A18" s="44"/>
      <c r="B18" s="45"/>
      <c r="C18" s="33" t="s">
        <v>129</v>
      </c>
      <c r="D18" s="34">
        <f>SUMPRODUCT($B$6:$B$17,D6:D17)</f>
        <v>-4.5714285714285641</v>
      </c>
      <c r="E18" s="34">
        <f>SUMPRODUCT($B$6:$B$17,E6:E17)</f>
        <v>-10.532684539111269</v>
      </c>
      <c r="F18" s="34">
        <f>SUMPRODUCT($B$6:$B$17,F6:F17)</f>
        <v>-6.1127432978332692</v>
      </c>
      <c r="H18" s="34">
        <f>SUMPRODUCT($B$6:$B$17,H6:H17)</f>
        <v>1.1786632390745502</v>
      </c>
    </row>
    <row r="19" spans="1:8" x14ac:dyDescent="0.2">
      <c r="C19" s="36" t="s">
        <v>131</v>
      </c>
      <c r="D19" s="37">
        <f>EXP(D18)</f>
        <v>1.0343173196618325E-2</v>
      </c>
      <c r="E19" s="37">
        <f>EXP(E18)</f>
        <v>2.6650982556739144E-5</v>
      </c>
      <c r="F19" s="37">
        <f>EXP(F18)</f>
        <v>2.2144675285102559E-3</v>
      </c>
      <c r="H19" s="35">
        <f>EXP(H18)</f>
        <v>3.2500267889923453</v>
      </c>
    </row>
    <row r="20" spans="1:8" x14ac:dyDescent="0.2">
      <c r="B20" s="4" t="s">
        <v>133</v>
      </c>
      <c r="C20" s="33" t="s">
        <v>130</v>
      </c>
      <c r="D20" s="34">
        <f>D19/(SUM($D$19:$F$19))</f>
        <v>0.82191143028746494</v>
      </c>
      <c r="E20" s="34">
        <f>E19/(SUM($D$19:$F$19))</f>
        <v>2.1177975825578798E-3</v>
      </c>
      <c r="F20" s="34">
        <f>F19/(SUM($D$19:$F$19))</f>
        <v>0.17597077212997728</v>
      </c>
    </row>
    <row r="21" spans="1:8" x14ac:dyDescent="0.2">
      <c r="B21" s="4" t="s">
        <v>134</v>
      </c>
      <c r="C21" s="33" t="s">
        <v>130</v>
      </c>
      <c r="D21" s="34">
        <f>D19/(SUM($D$19:$F$19,$H$19))</f>
        <v>3.17021334777024E-3</v>
      </c>
      <c r="E21" s="34">
        <f>E19/(SUM($D$19:$F$19,$H$19))</f>
        <v>8.1686054198715184E-6</v>
      </c>
      <c r="F21" s="34">
        <f>F19/(SUM($D$19:$F$19,$H$19))</f>
        <v>6.7874088383072502E-4</v>
      </c>
      <c r="H21" s="34">
        <f>H19/(SUM($D$19:$F$19,$H$19))</f>
        <v>0.99614287716297911</v>
      </c>
    </row>
  </sheetData>
  <mergeCells count="2">
    <mergeCell ref="A1:B5"/>
    <mergeCell ref="A18:B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8</xdr:col>
                <xdr:colOff>114300</xdr:colOff>
                <xdr:row>0</xdr:row>
                <xdr:rowOff>95250</xdr:rowOff>
              </from>
              <to>
                <xdr:col>11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146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Conjoint!$L$7:$AO$7</xm:f>
          </x14:formula1>
          <xm:sqref>A1:B5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Conjoint</vt:lpstr>
      <vt:lpstr>Sheet3</vt:lpstr>
      <vt:lpstr>Regression</vt:lpstr>
      <vt:lpstr>Market 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2018-07-04T07:03:48Z</dcterms:created>
  <dcterms:modified xsi:type="dcterms:W3CDTF">2018-07-06T22:18:19Z</dcterms:modified>
</cp:coreProperties>
</file>